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Watch" sheetId="2" state="visible" r:id="rId4"/>
    <sheet name="Buy Alert" sheetId="3" state="visible" r:id="rId5"/>
    <sheet name="Buy Ready" sheetId="4" state="visible" r:id="rId6"/>
    <sheet name="Positions" sheetId="5" state="visible" r:id="rId7"/>
    <sheet name="Reset Watch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<sst xmlns="http://schemas.openxmlformats.org/spreadsheetml/2006/main" count="282" uniqueCount="165">
  <si>
    <t xml:space="preserve">SEPA SIGNALS — Watch List Command Center</t>
  </si>
  <si>
    <t xml:space="preserve">Minervini methodology • position trading • global universe</t>
  </si>
  <si>
    <t xml:space="preserve">SETTINGS  (position-size engine reads these)</t>
  </si>
  <si>
    <t xml:space="preserve">Account size ($)</t>
  </si>
  <si>
    <t xml:space="preserve">Risk per trade (%)</t>
  </si>
  <si>
    <t xml:space="preserve">Risk budget / trade ($)</t>
  </si>
  <si>
    <t xml:space="preserve">← drives Shares column on every watch list</t>
  </si>
  <si>
    <t xml:space="preserve">Buy-zone width (%)</t>
  </si>
  <si>
    <t xml:space="preserve">MARKET TONE  (global gate — third conviction axis)</t>
  </si>
  <si>
    <t xml:space="preserve">Current read:</t>
  </si>
  <si>
    <t xml:space="preserve">Confirmed uptrend</t>
  </si>
  <si>
    <t xml:space="preserve">Rule:</t>
  </si>
  <si>
    <t xml:space="preserve">In a Correction / Under Pressure tape, downgrade every setup one tier. No new buys in a Correction.</t>
  </si>
  <si>
    <t xml:space="preserve">THE LADDER  (a stock moves up rungs as all 3 axes align — or falls off)</t>
  </si>
  <si>
    <t xml:space="preserve">WATCH</t>
  </si>
  <si>
    <t xml:space="preserve">Underline. Shows potential, base NOT mature. On the radar.</t>
  </si>
  <si>
    <t xml:space="preserve">BUY ALERT</t>
  </si>
  <si>
    <t xml:space="preserve">Setup maturing. Fundamentals + technicals lining up. Watch closely.</t>
  </si>
  <si>
    <t xml:space="preserve">BUY READY</t>
  </si>
  <si>
    <t xml:space="preserve">Circled asterisk (*). Pivot formed &amp; immediately buyable, price in buy zone.</t>
  </si>
  <si>
    <t xml:space="preserve">POSITIONS</t>
  </si>
  <si>
    <t xml:space="preserve">Owned. Manage follow-through vs squat; trail the 20/50-day.</t>
  </si>
  <si>
    <t xml:space="preserve">RESET WATCH</t>
  </si>
  <si>
    <t xml:space="preserve">Stopped out. Hold for a failure reset (base failure / pivot failure reset).</t>
  </si>
  <si>
    <t xml:space="preserve">MINERVINI NOTATION  (use in the flag columns)</t>
  </si>
  <si>
    <t xml:space="preserve">Column</t>
  </si>
  <si>
    <t xml:space="preserve">Mark</t>
  </si>
  <si>
    <t xml:space="preserve">Meaning</t>
  </si>
  <si>
    <t xml:space="preserve">Conv (circle)</t>
  </si>
  <si>
    <t xml:space="preserve">Y</t>
  </si>
  <si>
    <t xml:space="preserve">“I really like it” — highest conviction.</t>
  </si>
  <si>
    <t xml:space="preserve">Pivot* (asterisk)</t>
  </si>
  <si>
    <t xml:space="preserve">A pivot point has formed.</t>
  </si>
  <si>
    <t xml:space="preserve">Buyable (circled *)</t>
  </si>
  <si>
    <t xml:space="preserve">Pivot is immediately buyable — actionable now.</t>
  </si>
  <si>
    <t xml:space="preserve">pb</t>
  </si>
  <si>
    <t xml:space="preserve">Interested on a pullback (different entry path).</t>
  </si>
  <si>
    <t xml:space="preserve">SETUP PLAYBOOK  (sourced thresholds — the Footprint / Setup columns)</t>
  </si>
  <si>
    <t xml:space="preserve">Setup</t>
  </si>
  <si>
    <t xml:space="preserve">Defining structure</t>
  </si>
  <si>
    <t xml:space="preserve">Key thresholds</t>
  </si>
  <si>
    <t xml:space="preserve">Entry trigger</t>
  </si>
  <si>
    <t xml:space="preserve">VCP / 3C</t>
  </si>
  <si>
    <t xml:space="preserve">Series of contractions, each shallower; volume dries up into the pivot.</t>
  </si>
  <si>
    <t xml:space="preserve">Footprint = [wks]W [1st%]/[last%] [n]T. Final contraction tight (~3-5%).</t>
  </si>
  <si>
    <t xml:space="preserve">Break above pivot (last contraction high) on volume surge.</t>
  </si>
  <si>
    <t xml:space="preserve">Cup-with-handle</t>
  </si>
  <si>
    <t xml:space="preserve">Rounded base; handle = final shallow contraction under the rim.</t>
  </si>
  <si>
    <t xml:space="preserve">Handle drifts down/sideways, low volume; handle high ≈ pivot.</t>
  </si>
  <si>
    <t xml:space="preserve">Break above handle high on volume expansion.</t>
  </si>
  <si>
    <t xml:space="preserve">Cheat (4-phase)</t>
  </si>
  <si>
    <t xml:space="preserve">A→Downtrend, B→Uptrend, C→Pause/plateau, D→Breakout.</t>
  </si>
  <si>
    <t xml:space="preserve">Correction 7-25 wks, 15-40% deep (≤60%). Plateau 5-10%, ideally a shakeout.</t>
  </si>
  <si>
    <t xml:space="preserve">Take out the high of the plateau (the cheat / handle).</t>
  </si>
  <si>
    <t xml:space="preserve">Livermore PP</t>
  </si>
  <si>
    <t xml:space="preserve">Downtrend breaks, then TWO reactionary pullbacks.</t>
  </si>
  <si>
    <t xml:space="preserve">PP set by the trend change; wait for confirmed penetration.</t>
  </si>
  <si>
    <t xml:space="preserve">Buy above the 2nd reaction high (confirmation).</t>
  </si>
  <si>
    <t xml:space="preserve">Power Play</t>
  </si>
  <si>
    <t xml:space="preserve">Explosive thrust then tight high flag. Velocity pattern.</t>
  </si>
  <si>
    <t xml:space="preserve">+100% in &lt;8 wks after dormancy; flag ≤20-25% over 3-6 wks (min ~12 days); volume contracts hard just before breakout.</t>
  </si>
  <si>
    <t xml:space="preserve">Break above tight-flag high; bypasses extension filters.</t>
  </si>
  <si>
    <t xml:space="preserve">Primary base</t>
  </si>
  <si>
    <t xml:space="preserve">First proper base after a Stage-2 turn.</t>
  </si>
  <si>
    <t xml:space="preserve">Standard Trend Template must hold (8/8 ideal).</t>
  </si>
  <si>
    <t xml:space="preserve">Break above base pivot on volume.</t>
  </si>
  <si>
    <t xml:space="preserve">CONVICTION MODEL</t>
  </si>
  <si>
    <t xml:space="preserve">Three independent axes — score each separately, buy only when they ALIGN:
  1) FUNDAMENTAL — EPS/sales acceleration, margin trend, ROE.
  2) TECHNICAL — Stage 2, Trend Template, a valid setup above.
  3) MARKET — healthy tape (the gate above).
“A good company is not always a good stock.” Fundamentally sound ≠ price-ready — be patient and wait for the setup.</t>
  </si>
  <si>
    <t xml:space="preserve">Watch  —  radar / not mature</t>
  </si>
  <si>
    <t xml:space="preserve">Ticker</t>
  </si>
  <si>
    <t xml:space="preserve">Company</t>
  </si>
  <si>
    <t xml:space="preserve">Exch</t>
  </si>
  <si>
    <t xml:space="preserve">Sector</t>
  </si>
  <si>
    <t xml:space="preserve">Business summary</t>
  </si>
  <si>
    <t xml:space="preserve">Stage</t>
  </si>
  <si>
    <t xml:space="preserve">TT /8</t>
  </si>
  <si>
    <t xml:space="preserve">RS</t>
  </si>
  <si>
    <t xml:space="preserve">Fund</t>
  </si>
  <si>
    <t xml:space="preserve">Footprint</t>
  </si>
  <si>
    <t xml:space="preserve">Conv</t>
  </si>
  <si>
    <t xml:space="preserve">Pivot*</t>
  </si>
  <si>
    <t xml:space="preserve">Buyable</t>
  </si>
  <si>
    <t xml:space="preserve">Pivot $</t>
  </si>
  <si>
    <t xml:space="preserve">Buy-zone top</t>
  </si>
  <si>
    <t xml:space="preserve">Entry $</t>
  </si>
  <si>
    <t xml:space="preserve">Stop $</t>
  </si>
  <si>
    <t xml:space="preserve">Stop %</t>
  </si>
  <si>
    <t xml:space="preserve">Shares</t>
  </si>
  <si>
    <t xml:space="preserve">Added</t>
  </si>
  <si>
    <t xml:space="preserve">Reviewed</t>
  </si>
  <si>
    <t xml:space="preserve">Notes</t>
  </si>
  <si>
    <t xml:space="preserve">FFEXT</t>
  </si>
  <si>
    <t xml:space="preserve">Fortis Extended</t>
  </si>
  <si>
    <t xml:space="preserve">US</t>
  </si>
  <si>
    <t xml:space="preserve">Retail</t>
  </si>
  <si>
    <t xml:space="preserve">Retail name — synthetic demo data</t>
  </si>
  <si>
    <t xml:space="preserve">2 - Advance</t>
  </si>
  <si>
    <t xml:space="preserve">8</t>
  </si>
  <si>
    <t xml:space="preserve">EPS↑+Sales↑+ROE&gt;17</t>
  </si>
  <si>
    <t xml:space="preserve">—</t>
  </si>
  <si>
    <t xml:space="preserve">2026-05-25</t>
  </si>
  <si>
    <t xml:space="preserve">[NEW] stage2 TT8/8 RS84 fund✓ no setup</t>
  </si>
  <si>
    <t xml:space="preserve">GGEXT</t>
  </si>
  <si>
    <t xml:space="preserve">Granite Growth</t>
  </si>
  <si>
    <t xml:space="preserve">Consumer</t>
  </si>
  <si>
    <t xml:space="preserve">Consumer name — synthetic demo data</t>
  </si>
  <si>
    <t xml:space="preserve">[NEW] stage2 TT8/8 RS99 fund✓ no setup</t>
  </si>
  <si>
    <t xml:space="preserve">NNEXT</t>
  </si>
  <si>
    <t xml:space="preserve">Nimbus Networks</t>
  </si>
  <si>
    <t xml:space="preserve">Telecom</t>
  </si>
  <si>
    <t xml:space="preserve">Telecom name — synthetic demo data</t>
  </si>
  <si>
    <t xml:space="preserve">EPS↑+Sales↑</t>
  </si>
  <si>
    <t xml:space="preserve">[NEW] stage2 TT8/8 RS74 fund✓ no setup</t>
  </si>
  <si>
    <t xml:space="preserve">Buy Alert  —  setup maturing</t>
  </si>
  <si>
    <t xml:space="preserve">BBVCP</t>
  </si>
  <si>
    <t xml:space="preserve">Bluefin Biotech</t>
  </si>
  <si>
    <t xml:space="preserve">Biotech</t>
  </si>
  <si>
    <t xml:space="preserve">Biotech name — synthetic demo data</t>
  </si>
  <si>
    <t xml:space="preserve">13W 16/4 4T</t>
  </si>
  <si>
    <t xml:space="preserve">[NEW] stage2 TT8/8 RS70 fund✓ VCP / 3C</t>
  </si>
  <si>
    <t xml:space="preserve">Buy Ready  —  actionable now</t>
  </si>
  <si>
    <t xml:space="preserve">AAVCP</t>
  </si>
  <si>
    <t xml:space="preserve">Apex Velocity Corp</t>
  </si>
  <si>
    <t xml:space="preserve">Software</t>
  </si>
  <si>
    <t xml:space="preserve">Software name — synthetic demo data</t>
  </si>
  <si>
    <t xml:space="preserve">13W 13/4 4T</t>
  </si>
  <si>
    <t xml:space="preserve">[NEW] stage2 TT8/8 RS79 fund✓ VCP / 3C(buyable)</t>
  </si>
  <si>
    <t xml:space="preserve">DDPOW</t>
  </si>
  <si>
    <t xml:space="preserve">Delta Dynamics</t>
  </si>
  <si>
    <t xml:space="preserve">Semis</t>
  </si>
  <si>
    <t xml:space="preserve">Semis name — synthetic demo data</t>
  </si>
  <si>
    <t xml:space="preserve">+114%/40d flag 10d</t>
  </si>
  <si>
    <t xml:space="preserve">[NEW] POWER PLAY RS89 fund✓ +114%/40d flag 10d</t>
  </si>
  <si>
    <t xml:space="preserve">EEPOW</t>
  </si>
  <si>
    <t xml:space="preserve">Echo Energy</t>
  </si>
  <si>
    <t xml:space="preserve">Energy</t>
  </si>
  <si>
    <t xml:space="preserve">Energy name — synthetic demo data</t>
  </si>
  <si>
    <t xml:space="preserve">[NEW] POWER PLAY RS94 fund✓ +114%/40d flag 10d</t>
  </si>
  <si>
    <t xml:space="preserve">POSITIONS — open trades &amp; exit management</t>
  </si>
  <si>
    <t xml:space="preserve">Entry date</t>
  </si>
  <si>
    <t xml:space="preserve">Current $</t>
  </si>
  <si>
    <t xml:space="preserve">Init risk $</t>
  </si>
  <si>
    <t xml:space="preserve">Open P/L $</t>
  </si>
  <si>
    <t xml:space="preserve">Current R</t>
  </si>
  <si>
    <t xml:space="preserve">Status</t>
  </si>
  <si>
    <t xml:space="preserve">Trail ref</t>
  </si>
  <si>
    <t xml:space="preserve">ARNA</t>
  </si>
  <si>
    <t xml:space="preserve">Arena Pharmaceuticals</t>
  </si>
  <si>
    <t xml:space="preserve">Cheat</t>
  </si>
  <si>
    <t xml:space="preserve">Follow-through OK</t>
  </si>
  <si>
    <t xml:space="preserve">20-day</t>
  </si>
  <si>
    <t xml:space="preserve">EXAMPLE — close-based stop; trail 20-day on a runner</t>
  </si>
  <si>
    <t xml:space="preserve">RESET WATCH — stopped out, monitoring for a failure reset</t>
  </si>
  <si>
    <t xml:space="preserve">Failed setup</t>
  </si>
  <si>
    <t xml:space="preserve">Stopped date</t>
  </si>
  <si>
    <t xml:space="preserve">Loss (R)</t>
  </si>
  <si>
    <t xml:space="preserve">Reset type expected</t>
  </si>
  <si>
    <t xml:space="preserve">Days since</t>
  </si>
  <si>
    <t xml:space="preserve">Reset status</t>
  </si>
  <si>
    <t xml:space="preserve">New pivot $</t>
  </si>
  <si>
    <t xml:space="preserve">XYZ</t>
  </si>
  <si>
    <t xml:space="preserve">Example Co</t>
  </si>
  <si>
    <t xml:space="preserve">Pivot failure reset (days)</t>
  </si>
  <si>
    <t xml:space="preserve">Watching</t>
  </si>
  <si>
    <t xml:space="preserve">EXAMPLE — shaken out, not soured; keep on radar for a tighter 2nd setup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</si>
</sst>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"/>
    <numFmt numFmtId="166" formatCode="0.00%"/>
    <numFmt numFmtId="167" formatCode="0.0%"/>
    <numFmt numFmtId="168" formatCode="\$#,##0.00"/>
    <numFmt numFmtId="169" formatCode="#,##0"/>
    <numFmt numFmtId="170" formatCode="yyyy\-mm\-dd"/>
    <numFmt numFmtId="171" formatCode="\$#,##0.00"/>
    <numFmt numFmtId="172" formatCode="\$#,##0;&quot;($&quot;#,##0\)"/>
    <numFmt numFmtId="173" formatCode="0.0\R"/>
    <numFmt numFmtId="174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color rgb="FFC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BE4E4"/>
      </patternFill>
    </fill>
    <fill>
      <patternFill patternType="solid">
        <fgColor rgb="FFF2F2F2"/>
        <bgColor rgb="FFE2EFDA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BE4E4"/>
        <bgColor rgb="FFF2F2F2"/>
      </patternFill>
    </fill>
    <fill>
      <patternFill patternType="solid">
        <fgColor rgb="FF2E5496"/>
        <bgColor rgb="FF1F3864"/>
      </patternFill>
    </fill>
    <fill>
      <patternFill patternType="solid">
        <fgColor rgb="FFC6EFCE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B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  <col collapsed="false" customWidth="true" hidden="false" outlineLevel="0" max="3" min="3" style="1" width="20"/>
    <col collapsed="false" customWidth="true" hidden="false" outlineLevel="0" max="4" min="4" style="1" width="34"/>
    <col collapsed="false" customWidth="true" hidden="false" outlineLevel="0" max="5" min="5" style="1" width="30"/>
    <col collapsed="false" customWidth="true" hidden="false" outlineLevel="0" max="6" min="6" style="1" width="12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/>
      <c r="C4" s="5"/>
      <c r="D4" s="5"/>
      <c r="E4" s="5"/>
      <c r="F4" s="5"/>
    </row>
    <row r="5" customFormat="false" ht="15" hidden="false" customHeight="true" outlineLevel="0" collapsed="false">
      <c r="A5" s="6" t="s">
        <v>3</v>
      </c>
      <c r="B5" s="7" t="n">
        <v>100000</v>
      </c>
    </row>
    <row r="6" customFormat="false" ht="15" hidden="false" customHeight="true" outlineLevel="0" collapsed="false">
      <c r="A6" s="6" t="s">
        <v>4</v>
      </c>
      <c r="B6" s="8" t="n">
        <v>0.0125</v>
      </c>
    </row>
    <row r="7" customFormat="false" ht="15" hidden="false" customHeight="true" outlineLevel="0" collapsed="false">
      <c r="A7" s="6" t="s">
        <v>5</v>
      </c>
      <c r="B7" s="9" t="n">
        <f aca="false">B5*B6</f>
        <v>1250</v>
      </c>
      <c r="C7" s="10" t="s">
        <v>6</v>
      </c>
    </row>
    <row r="8" customFormat="false" ht="15" hidden="false" customHeight="true" outlineLevel="0" collapsed="false">
      <c r="A8" s="6" t="s">
        <v>7</v>
      </c>
      <c r="B8" s="11" t="n">
        <v>0.05</v>
      </c>
    </row>
    <row r="10" customFormat="false" ht="15" hidden="false" customHeight="true" outlineLevel="0" collapsed="false">
      <c r="A10" s="4" t="s">
        <v>8</v>
      </c>
      <c r="B10" s="5"/>
      <c r="C10" s="5"/>
      <c r="D10" s="5"/>
      <c r="E10" s="5"/>
      <c r="F10" s="5"/>
    </row>
    <row r="11" customFormat="false" ht="15" hidden="false" customHeight="true" outlineLevel="0" collapsed="false">
      <c r="A11" s="6" t="s">
        <v>9</v>
      </c>
      <c r="B11" s="12" t="s">
        <v>10</v>
      </c>
    </row>
    <row r="12" customFormat="false" ht="15" hidden="false" customHeight="true" outlineLevel="0" collapsed="false">
      <c r="A12" s="6" t="s">
        <v>11</v>
      </c>
      <c r="B12" s="13" t="s">
        <v>12</v>
      </c>
      <c r="C12" s="13"/>
      <c r="D12" s="13"/>
      <c r="E12" s="13"/>
      <c r="F12" s="13"/>
    </row>
    <row r="15" customFormat="false" ht="15" hidden="false" customHeight="true" outlineLevel="0" collapsed="false">
      <c r="A15" s="4" t="s">
        <v>13</v>
      </c>
      <c r="B15" s="5"/>
      <c r="C15" s="5"/>
      <c r="D15" s="5"/>
      <c r="E15" s="5"/>
      <c r="F15" s="5"/>
    </row>
    <row r="16" customFormat="false" ht="15" hidden="false" customHeight="true" outlineLevel="0" collapsed="false">
      <c r="A16" s="14" t="s">
        <v>14</v>
      </c>
      <c r="B16" s="13" t="s">
        <v>15</v>
      </c>
      <c r="C16" s="13"/>
      <c r="D16" s="13"/>
      <c r="E16" s="13"/>
      <c r="F16" s="13"/>
    </row>
    <row r="17" customFormat="false" ht="15" hidden="false" customHeight="true" outlineLevel="0" collapsed="false">
      <c r="A17" s="15" t="s">
        <v>16</v>
      </c>
      <c r="B17" s="13" t="s">
        <v>17</v>
      </c>
      <c r="C17" s="13"/>
      <c r="D17" s="13"/>
      <c r="E17" s="13"/>
      <c r="F17" s="13"/>
    </row>
    <row r="18" customFormat="false" ht="15" hidden="false" customHeight="true" outlineLevel="0" collapsed="false">
      <c r="A18" s="16" t="s">
        <v>18</v>
      </c>
      <c r="B18" s="13" t="s">
        <v>19</v>
      </c>
      <c r="C18" s="13"/>
      <c r="D18" s="13"/>
      <c r="E18" s="13"/>
      <c r="F18" s="13"/>
    </row>
    <row r="19" customFormat="false" ht="15" hidden="false" customHeight="true" outlineLevel="0" collapsed="false">
      <c r="A19" s="17" t="s">
        <v>20</v>
      </c>
      <c r="B19" s="13" t="s">
        <v>21</v>
      </c>
      <c r="C19" s="13"/>
      <c r="D19" s="13"/>
      <c r="E19" s="13"/>
      <c r="F19" s="13"/>
    </row>
    <row r="20" customFormat="false" ht="15" hidden="false" customHeight="true" outlineLevel="0" collapsed="false">
      <c r="A20" s="18" t="s">
        <v>22</v>
      </c>
      <c r="B20" s="13" t="s">
        <v>23</v>
      </c>
      <c r="C20" s="13"/>
      <c r="D20" s="13"/>
      <c r="E20" s="13"/>
      <c r="F20" s="13"/>
    </row>
    <row r="23" customFormat="false" ht="15" hidden="false" customHeight="true" outlineLevel="0" collapsed="false">
      <c r="A23" s="4" t="s">
        <v>24</v>
      </c>
      <c r="B23" s="5"/>
      <c r="C23" s="5"/>
      <c r="D23" s="5"/>
      <c r="E23" s="5"/>
      <c r="F23" s="5"/>
    </row>
    <row r="24" customFormat="false" ht="15" hidden="false" customHeight="true" outlineLevel="0" collapsed="false">
      <c r="A24" s="19" t="s">
        <v>25</v>
      </c>
      <c r="B24" s="19" t="s">
        <v>26</v>
      </c>
      <c r="C24" s="19" t="s">
        <v>27</v>
      </c>
    </row>
    <row r="25" customFormat="false" ht="15" hidden="false" customHeight="true" outlineLevel="0" collapsed="false">
      <c r="A25" s="6" t="s">
        <v>28</v>
      </c>
      <c r="B25" s="20" t="s">
        <v>29</v>
      </c>
      <c r="C25" s="13" t="s">
        <v>30</v>
      </c>
      <c r="D25" s="13"/>
      <c r="E25" s="13"/>
      <c r="F25" s="13"/>
    </row>
    <row r="26" customFormat="false" ht="15" hidden="false" customHeight="true" outlineLevel="0" collapsed="false">
      <c r="A26" s="6" t="s">
        <v>31</v>
      </c>
      <c r="B26" s="20" t="s">
        <v>29</v>
      </c>
      <c r="C26" s="13" t="s">
        <v>32</v>
      </c>
      <c r="D26" s="13"/>
      <c r="E26" s="13"/>
      <c r="F26" s="13"/>
    </row>
    <row r="27" customFormat="false" ht="15" hidden="false" customHeight="true" outlineLevel="0" collapsed="false">
      <c r="A27" s="6" t="s">
        <v>33</v>
      </c>
      <c r="B27" s="20" t="s">
        <v>29</v>
      </c>
      <c r="C27" s="13" t="s">
        <v>34</v>
      </c>
      <c r="D27" s="13"/>
      <c r="E27" s="13"/>
      <c r="F27" s="13"/>
    </row>
    <row r="28" customFormat="false" ht="15" hidden="false" customHeight="true" outlineLevel="0" collapsed="false">
      <c r="A28" s="6" t="s">
        <v>35</v>
      </c>
      <c r="B28" s="20" t="s">
        <v>29</v>
      </c>
      <c r="C28" s="13" t="s">
        <v>36</v>
      </c>
      <c r="D28" s="13"/>
      <c r="E28" s="13"/>
      <c r="F28" s="13"/>
    </row>
    <row r="31" customFormat="false" ht="15" hidden="false" customHeight="true" outlineLevel="0" collapsed="false">
      <c r="A31" s="4" t="s">
        <v>37</v>
      </c>
      <c r="B31" s="5"/>
      <c r="C31" s="5"/>
      <c r="D31" s="5"/>
      <c r="E31" s="5"/>
      <c r="F31" s="5"/>
    </row>
    <row r="32" customFormat="false" ht="15" hidden="false" customHeight="true" outlineLevel="0" collapsed="false">
      <c r="A32" s="19" t="s">
        <v>38</v>
      </c>
      <c r="B32" s="19" t="s">
        <v>39</v>
      </c>
      <c r="C32" s="19"/>
      <c r="D32" s="19" t="s">
        <v>40</v>
      </c>
      <c r="E32" s="19" t="s">
        <v>41</v>
      </c>
    </row>
    <row r="33" customFormat="false" ht="21.75" hidden="false" customHeight="true" outlineLevel="0" collapsed="false">
      <c r="A33" s="21" t="s">
        <v>42</v>
      </c>
      <c r="B33" s="22" t="s">
        <v>43</v>
      </c>
      <c r="C33" s="22"/>
      <c r="D33" s="23" t="s">
        <v>44</v>
      </c>
      <c r="E33" s="23" t="s">
        <v>45</v>
      </c>
    </row>
    <row r="34" customFormat="false" ht="21.75" hidden="false" customHeight="true" outlineLevel="0" collapsed="false">
      <c r="A34" s="21" t="s">
        <v>46</v>
      </c>
      <c r="B34" s="22" t="s">
        <v>47</v>
      </c>
      <c r="C34" s="22"/>
      <c r="D34" s="23" t="s">
        <v>48</v>
      </c>
      <c r="E34" s="23" t="s">
        <v>49</v>
      </c>
    </row>
    <row r="35" customFormat="false" ht="21.75" hidden="false" customHeight="true" outlineLevel="0" collapsed="false">
      <c r="A35" s="21" t="s">
        <v>50</v>
      </c>
      <c r="B35" s="22" t="s">
        <v>51</v>
      </c>
      <c r="C35" s="22"/>
      <c r="D35" s="23" t="s">
        <v>52</v>
      </c>
      <c r="E35" s="23" t="s">
        <v>53</v>
      </c>
    </row>
    <row r="36" customFormat="false" ht="21.75" hidden="false" customHeight="true" outlineLevel="0" collapsed="false">
      <c r="A36" s="21" t="s">
        <v>54</v>
      </c>
      <c r="B36" s="22" t="s">
        <v>55</v>
      </c>
      <c r="C36" s="22"/>
      <c r="D36" s="23" t="s">
        <v>56</v>
      </c>
      <c r="E36" s="23" t="s">
        <v>57</v>
      </c>
    </row>
    <row r="37" customFormat="false" ht="32.25" hidden="false" customHeight="true" outlineLevel="0" collapsed="false">
      <c r="A37" s="21" t="s">
        <v>58</v>
      </c>
      <c r="B37" s="22" t="s">
        <v>59</v>
      </c>
      <c r="C37" s="22"/>
      <c r="D37" s="23" t="s">
        <v>60</v>
      </c>
      <c r="E37" s="23" t="s">
        <v>61</v>
      </c>
    </row>
    <row r="38" customFormat="false" ht="21.75" hidden="false" customHeight="true" outlineLevel="0" collapsed="false">
      <c r="A38" s="21" t="s">
        <v>62</v>
      </c>
      <c r="B38" s="22" t="s">
        <v>63</v>
      </c>
      <c r="C38" s="22"/>
      <c r="D38" s="23" t="s">
        <v>64</v>
      </c>
      <c r="E38" s="23" t="s">
        <v>65</v>
      </c>
    </row>
    <row r="41" customFormat="false" ht="15" hidden="false" customHeight="true" outlineLevel="0" collapsed="false">
      <c r="A41" s="4" t="s">
        <v>66</v>
      </c>
      <c r="B41" s="5"/>
      <c r="C41" s="5"/>
      <c r="D41" s="5"/>
      <c r="E41" s="5"/>
      <c r="F41" s="5"/>
    </row>
    <row r="42" customFormat="false" ht="15" hidden="false" customHeight="true" outlineLevel="0" collapsed="false">
      <c r="A42" s="24" t="s">
        <v>67</v>
      </c>
      <c r="B42" s="24"/>
      <c r="C42" s="24"/>
      <c r="D42" s="24"/>
      <c r="E42" s="24"/>
      <c r="F42" s="24"/>
    </row>
    <row r="43" customFormat="false" ht="15" hidden="false" customHeight="true" outlineLevel="0" collapsed="false">
      <c r="A43" s="24"/>
      <c r="B43" s="24"/>
      <c r="C43" s="24"/>
      <c r="D43" s="24"/>
      <c r="E43" s="24"/>
      <c r="F43" s="24"/>
    </row>
    <row r="44" customFormat="false" ht="15" hidden="false" customHeight="true" outlineLevel="0" collapsed="false">
      <c r="A44" s="24"/>
      <c r="B44" s="24"/>
      <c r="C44" s="24"/>
      <c r="D44" s="24"/>
      <c r="E44" s="24"/>
      <c r="F44" s="24"/>
    </row>
    <row r="45" customFormat="false" ht="15" hidden="false" customHeight="true" outlineLevel="0" collapsed="false">
      <c r="A45" s="24"/>
      <c r="B45" s="24"/>
      <c r="C45" s="24"/>
      <c r="D45" s="24"/>
      <c r="E45" s="24"/>
      <c r="F45" s="24"/>
    </row>
    <row r="46" customFormat="false" ht="15" hidden="false" customHeight="true" outlineLevel="0" collapsed="false">
      <c r="A46" s="24"/>
      <c r="B46" s="24"/>
      <c r="C46" s="24"/>
      <c r="D46" s="24"/>
      <c r="E46" s="24"/>
      <c r="F46" s="24"/>
    </row>
  </sheetData>
  <mergeCells count="18">
    <mergeCell ref="B12:F12"/>
    <mergeCell ref="B16:F16"/>
    <mergeCell ref="B17:F17"/>
    <mergeCell ref="B18:F18"/>
    <mergeCell ref="B19:F19"/>
    <mergeCell ref="B20:F20"/>
    <mergeCell ref="C25:F25"/>
    <mergeCell ref="C26:F26"/>
    <mergeCell ref="C27:F27"/>
    <mergeCell ref="C28:F28"/>
    <mergeCell ref="B32:C32"/>
    <mergeCell ref="B33:C33"/>
    <mergeCell ref="B34:C34"/>
    <mergeCell ref="B35:C35"/>
    <mergeCell ref="B36:C36"/>
    <mergeCell ref="B37:C37"/>
    <mergeCell ref="B38:C38"/>
    <mergeCell ref="A42:F46"/>
  </mergeCells>
  <dataValidations count="1">
    <dataValidation allowBlank="true" errorStyle="stop" operator="between" showDropDown="false" showErrorMessage="false" showInputMessage="false" sqref="B11" type="list">
      <formula1>"Confirmed uptrend,Under pressure,Correction"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2"/>
    <col collapsed="false" customWidth="true" hidden="false" outlineLevel="0" max="3" min="3" style="1" width="7"/>
    <col collapsed="false" customWidth="true" hidden="false" outlineLevel="0" max="4" min="4" style="1" width="16"/>
    <col collapsed="false" customWidth="true" hidden="false" outlineLevel="0" max="5" min="5" style="1" width="30"/>
    <col collapsed="false" customWidth="true" hidden="false" outlineLevel="0" max="7" min="6" style="1" width="7"/>
    <col collapsed="false" customWidth="true" hidden="false" outlineLevel="0" max="8" min="8" style="1" width="6"/>
    <col collapsed="false" customWidth="true" hidden="false" outlineLevel="0" max="10" min="9" style="1" width="14"/>
    <col collapsed="false" customWidth="true" hidden="false" outlineLevel="0" max="11" min="11" style="1" width="13"/>
    <col collapsed="false" customWidth="true" hidden="false" outlineLevel="0" max="12" min="12" style="1" width="6"/>
    <col collapsed="false" customWidth="true" hidden="false" outlineLevel="0" max="13" min="13" style="1" width="7"/>
    <col collapsed="false" customWidth="true" hidden="false" outlineLevel="0" max="14" min="14" style="1" width="8"/>
    <col collapsed="false" customWidth="true" hidden="false" outlineLevel="0" max="15" min="15" style="1" width="5"/>
    <col collapsed="false" customWidth="true" hidden="false" outlineLevel="0" max="16" min="16" style="1" width="10"/>
    <col collapsed="false" customWidth="true" hidden="false" outlineLevel="0" max="17" min="17" style="1" width="11"/>
    <col collapsed="false" customWidth="true" hidden="false" outlineLevel="0" max="18" min="18" style="1" width="10"/>
    <col collapsed="false" customWidth="true" hidden="false" outlineLevel="0" max="19" min="19" style="1" width="9"/>
    <col collapsed="false" customWidth="true" hidden="false" outlineLevel="0" max="21" min="20" style="1" width="8"/>
    <col collapsed="false" customWidth="true" hidden="false" outlineLevel="0" max="23" min="22" style="1" width="11"/>
    <col collapsed="false" customWidth="true" hidden="false" outlineLevel="0" max="24" min="24" style="1" width="28"/>
  </cols>
  <sheetData>
    <row r="1" customFormat="false" ht="17.25" hidden="false" customHeight="true" outlineLevel="0" collapsed="false">
      <c r="A1" s="25" t="s">
        <v>68</v>
      </c>
      <c r="B1" s="25"/>
      <c r="C1" s="25"/>
      <c r="D1" s="25"/>
      <c r="E1" s="25"/>
      <c r="F1" s="25"/>
      <c r="G1" s="25"/>
      <c r="H1" s="25"/>
    </row>
    <row r="3" customFormat="false" ht="30" hidden="false" customHeight="true" outlineLevel="0" collapsed="false">
      <c r="A3" s="26" t="s">
        <v>69</v>
      </c>
      <c r="B3" s="26" t="s">
        <v>70</v>
      </c>
      <c r="C3" s="26" t="s">
        <v>71</v>
      </c>
      <c r="D3" s="26" t="s">
        <v>72</v>
      </c>
      <c r="E3" s="26" t="s">
        <v>73</v>
      </c>
      <c r="F3" s="26" t="s">
        <v>74</v>
      </c>
      <c r="G3" s="26" t="s">
        <v>75</v>
      </c>
      <c r="H3" s="26" t="s">
        <v>76</v>
      </c>
      <c r="I3" s="26" t="s">
        <v>77</v>
      </c>
      <c r="J3" s="26" t="s">
        <v>38</v>
      </c>
      <c r="K3" s="26" t="s">
        <v>78</v>
      </c>
      <c r="L3" s="26" t="s">
        <v>79</v>
      </c>
      <c r="M3" s="26" t="s">
        <v>80</v>
      </c>
      <c r="N3" s="26" t="s">
        <v>81</v>
      </c>
      <c r="O3" s="26" t="s">
        <v>35</v>
      </c>
      <c r="P3" s="26" t="s">
        <v>82</v>
      </c>
      <c r="Q3" s="26" t="s">
        <v>83</v>
      </c>
      <c r="R3" s="26" t="s">
        <v>84</v>
      </c>
      <c r="S3" s="26" t="s">
        <v>85</v>
      </c>
      <c r="T3" s="26" t="s">
        <v>86</v>
      </c>
      <c r="U3" s="26" t="s">
        <v>87</v>
      </c>
      <c r="V3" s="26" t="s">
        <v>88</v>
      </c>
      <c r="W3" s="26" t="s">
        <v>89</v>
      </c>
      <c r="X3" s="26" t="s">
        <v>90</v>
      </c>
    </row>
    <row r="4" customFormat="false" ht="23.25" hidden="false" customHeight="true" outlineLevel="0" collapsed="false">
      <c r="A4" s="27" t="s">
        <v>91</v>
      </c>
      <c r="B4" s="27" t="s">
        <v>92</v>
      </c>
      <c r="C4" s="28" t="s">
        <v>93</v>
      </c>
      <c r="D4" s="27" t="s">
        <v>94</v>
      </c>
      <c r="E4" s="29" t="s">
        <v>95</v>
      </c>
      <c r="F4" s="28" t="s">
        <v>96</v>
      </c>
      <c r="G4" s="28" t="s">
        <v>97</v>
      </c>
      <c r="H4" s="28" t="n">
        <v>84</v>
      </c>
      <c r="I4" s="28" t="s">
        <v>98</v>
      </c>
      <c r="J4" s="27" t="s">
        <v>99</v>
      </c>
      <c r="K4" s="27" t="s">
        <v>99</v>
      </c>
      <c r="L4" s="28" t="s">
        <v>29</v>
      </c>
      <c r="M4" s="28"/>
      <c r="N4" s="28"/>
      <c r="O4" s="28"/>
      <c r="P4" s="30"/>
      <c r="Q4" s="31" t="str">
        <f aca="false">IF(P4="","",P4*(1+Dashboard!$B$8))</f>
        <v/>
      </c>
      <c r="R4" s="30"/>
      <c r="S4" s="30"/>
      <c r="T4" s="32" t="str">
        <f aca="false">IF(OR(R4="",S4="",R4=0),"",(R4-S4)/R4)</f>
        <v/>
      </c>
      <c r="U4" s="33" t="str">
        <f aca="false">IF(OR(R4="",S4="",R4=S4),"",ROUND(Dashboard!$B$7/(R4-S4),0))</f>
        <v/>
      </c>
      <c r="V4" s="34" t="s">
        <v>100</v>
      </c>
      <c r="W4" s="34" t="n">
        <v>46167</v>
      </c>
      <c r="X4" s="29" t="s">
        <v>101</v>
      </c>
    </row>
    <row r="5" customFormat="false" ht="15" hidden="false" customHeight="true" outlineLevel="0" collapsed="false">
      <c r="A5" s="27" t="s">
        <v>102</v>
      </c>
      <c r="B5" s="27" t="s">
        <v>103</v>
      </c>
      <c r="C5" s="28" t="s">
        <v>93</v>
      </c>
      <c r="D5" s="27" t="s">
        <v>104</v>
      </c>
      <c r="E5" s="29" t="s">
        <v>105</v>
      </c>
      <c r="F5" s="28" t="s">
        <v>96</v>
      </c>
      <c r="G5" s="28" t="s">
        <v>97</v>
      </c>
      <c r="H5" s="28" t="n">
        <v>99</v>
      </c>
      <c r="I5" s="28" t="s">
        <v>98</v>
      </c>
      <c r="J5" s="27" t="s">
        <v>99</v>
      </c>
      <c r="K5" s="27" t="s">
        <v>99</v>
      </c>
      <c r="L5" s="28" t="s">
        <v>29</v>
      </c>
      <c r="M5" s="28"/>
      <c r="N5" s="28"/>
      <c r="O5" s="28"/>
      <c r="P5" s="30"/>
      <c r="Q5" s="31" t="str">
        <f aca="false">IF(P5="","",P5*(1+Dashboard!$B$8))</f>
        <v/>
      </c>
      <c r="R5" s="30"/>
      <c r="S5" s="30"/>
      <c r="T5" s="32" t="str">
        <f aca="false">IF(OR(R5="",S5="",R5=0),"",(R5-S5)/R5)</f>
        <v/>
      </c>
      <c r="U5" s="33" t="str">
        <f aca="false">IF(OR(R5="",S5="",R5=S5),"",ROUND(Dashboard!$B$7/(R5-S5),0))</f>
        <v/>
      </c>
      <c r="V5" s="34" t="s">
        <v>100</v>
      </c>
      <c r="W5" s="34" t="n">
        <v>46167</v>
      </c>
      <c r="X5" s="29" t="s">
        <v>106</v>
      </c>
    </row>
    <row r="6" customFormat="false" ht="15" hidden="false" customHeight="true" outlineLevel="0" collapsed="false">
      <c r="A6" s="27" t="s">
        <v>107</v>
      </c>
      <c r="B6" s="27" t="s">
        <v>108</v>
      </c>
      <c r="C6" s="28" t="s">
        <v>93</v>
      </c>
      <c r="D6" s="27" t="s">
        <v>109</v>
      </c>
      <c r="E6" s="29" t="s">
        <v>110</v>
      </c>
      <c r="F6" s="28" t="s">
        <v>96</v>
      </c>
      <c r="G6" s="28" t="s">
        <v>97</v>
      </c>
      <c r="H6" s="28" t="n">
        <v>74</v>
      </c>
      <c r="I6" s="28" t="s">
        <v>111</v>
      </c>
      <c r="J6" s="27" t="s">
        <v>99</v>
      </c>
      <c r="K6" s="27" t="s">
        <v>99</v>
      </c>
      <c r="L6" s="28" t="s">
        <v>29</v>
      </c>
      <c r="M6" s="28"/>
      <c r="N6" s="28"/>
      <c r="O6" s="28"/>
      <c r="P6" s="30"/>
      <c r="Q6" s="31" t="str">
        <f aca="false">IF(P6="","",P6*(1+Dashboard!$B$8))</f>
        <v/>
      </c>
      <c r="R6" s="30"/>
      <c r="S6" s="30"/>
      <c r="T6" s="32" t="str">
        <f aca="false">IF(OR(R6="",S6="",R6=0),"",(R6-S6)/R6)</f>
        <v/>
      </c>
      <c r="U6" s="33" t="str">
        <f aca="false">IF(OR(R6="",S6="",R6=S6),"",ROUND(Dashboard!$B$7/(R6-S6),0))</f>
        <v/>
      </c>
      <c r="V6" s="34" t="s">
        <v>100</v>
      </c>
      <c r="W6" s="34" t="n">
        <v>46167</v>
      </c>
      <c r="X6" s="29" t="s">
        <v>112</v>
      </c>
    </row>
    <row r="7" customFormat="false" ht="15" hidden="false" customHeight="true" outlineLevel="0" collapsed="false">
      <c r="A7" s="35"/>
      <c r="B7" s="35"/>
      <c r="C7" s="20"/>
      <c r="D7" s="35"/>
      <c r="E7" s="13"/>
      <c r="F7" s="20"/>
      <c r="G7" s="20"/>
      <c r="H7" s="20"/>
      <c r="I7" s="35"/>
      <c r="J7" s="35"/>
      <c r="K7" s="35"/>
      <c r="L7" s="20"/>
      <c r="M7" s="20"/>
      <c r="N7" s="20"/>
      <c r="O7" s="20"/>
      <c r="P7" s="36"/>
      <c r="Q7" s="37"/>
      <c r="R7" s="36"/>
      <c r="S7" s="36"/>
      <c r="T7" s="38"/>
      <c r="U7" s="39"/>
      <c r="V7" s="40"/>
      <c r="W7" s="40"/>
      <c r="X7" s="13"/>
    </row>
    <row r="8" customFormat="false" ht="15" hidden="false" customHeight="true" outlineLevel="0" collapsed="false">
      <c r="A8" s="35"/>
      <c r="B8" s="35"/>
      <c r="C8" s="20"/>
      <c r="D8" s="35"/>
      <c r="E8" s="13"/>
      <c r="F8" s="20"/>
      <c r="G8" s="20"/>
      <c r="H8" s="20"/>
      <c r="I8" s="35"/>
      <c r="J8" s="35"/>
      <c r="K8" s="35"/>
      <c r="L8" s="20"/>
      <c r="M8" s="20"/>
      <c r="N8" s="20"/>
      <c r="O8" s="20"/>
      <c r="P8" s="36"/>
      <c r="Q8" s="37"/>
      <c r="R8" s="36"/>
      <c r="S8" s="36"/>
      <c r="T8" s="38"/>
      <c r="U8" s="39"/>
      <c r="V8" s="40"/>
      <c r="W8" s="40"/>
      <c r="X8" s="13"/>
    </row>
    <row r="9" customFormat="false" ht="15" hidden="false" customHeight="true" outlineLevel="0" collapsed="false">
      <c r="A9" s="35"/>
      <c r="B9" s="35"/>
      <c r="C9" s="20"/>
      <c r="D9" s="35"/>
      <c r="E9" s="13"/>
      <c r="F9" s="20"/>
      <c r="G9" s="20"/>
      <c r="H9" s="20"/>
      <c r="I9" s="35"/>
      <c r="J9" s="35"/>
      <c r="K9" s="35"/>
      <c r="L9" s="20"/>
      <c r="M9" s="20"/>
      <c r="N9" s="20"/>
      <c r="O9" s="20"/>
      <c r="P9" s="36"/>
      <c r="Q9" s="37"/>
      <c r="R9" s="36"/>
      <c r="S9" s="36"/>
      <c r="T9" s="38"/>
      <c r="U9" s="39"/>
      <c r="V9" s="40"/>
      <c r="W9" s="40"/>
      <c r="X9" s="13"/>
    </row>
    <row r="10" customFormat="false" ht="15" hidden="false" customHeight="true" outlineLevel="0" collapsed="false">
      <c r="A10" s="35"/>
      <c r="B10" s="35"/>
      <c r="C10" s="20"/>
      <c r="D10" s="35"/>
      <c r="E10" s="13"/>
      <c r="F10" s="20"/>
      <c r="G10" s="20"/>
      <c r="H10" s="20"/>
      <c r="I10" s="35"/>
      <c r="J10" s="35"/>
      <c r="K10" s="35"/>
      <c r="L10" s="20"/>
      <c r="M10" s="20"/>
      <c r="N10" s="20"/>
      <c r="O10" s="20"/>
      <c r="P10" s="36"/>
      <c r="Q10" s="37"/>
      <c r="R10" s="36"/>
      <c r="S10" s="36"/>
      <c r="T10" s="38"/>
      <c r="U10" s="39"/>
      <c r="V10" s="40"/>
      <c r="W10" s="40"/>
      <c r="X10" s="13"/>
    </row>
    <row r="11" customFormat="false" ht="15" hidden="false" customHeight="true" outlineLevel="0" collapsed="false">
      <c r="A11" s="35"/>
      <c r="B11" s="35"/>
      <c r="C11" s="20"/>
      <c r="D11" s="35"/>
      <c r="E11" s="13"/>
      <c r="F11" s="20"/>
      <c r="G11" s="20"/>
      <c r="H11" s="20"/>
      <c r="I11" s="35"/>
      <c r="J11" s="35"/>
      <c r="K11" s="35"/>
      <c r="L11" s="20"/>
      <c r="M11" s="20"/>
      <c r="N11" s="20"/>
      <c r="O11" s="20"/>
      <c r="P11" s="36"/>
      <c r="Q11" s="37"/>
      <c r="R11" s="36"/>
      <c r="S11" s="36"/>
      <c r="T11" s="38"/>
      <c r="U11" s="39"/>
      <c r="V11" s="40"/>
      <c r="W11" s="40"/>
      <c r="X11" s="13"/>
    </row>
    <row r="12" customFormat="false" ht="15" hidden="false" customHeight="true" outlineLevel="0" collapsed="false">
      <c r="A12" s="35"/>
      <c r="B12" s="35"/>
      <c r="C12" s="20"/>
      <c r="D12" s="35"/>
      <c r="E12" s="13"/>
      <c r="F12" s="20"/>
      <c r="G12" s="20"/>
      <c r="H12" s="20"/>
      <c r="I12" s="35"/>
      <c r="J12" s="35"/>
      <c r="K12" s="35"/>
      <c r="L12" s="20"/>
      <c r="M12" s="20"/>
      <c r="N12" s="20"/>
      <c r="O12" s="20"/>
      <c r="P12" s="36"/>
      <c r="Q12" s="37"/>
      <c r="R12" s="36"/>
      <c r="S12" s="36"/>
      <c r="T12" s="38"/>
      <c r="U12" s="39"/>
      <c r="V12" s="40"/>
      <c r="W12" s="40"/>
      <c r="X12" s="13"/>
    </row>
    <row r="13" customFormat="false" ht="15" hidden="false" customHeight="true" outlineLevel="0" collapsed="false">
      <c r="A13" s="35"/>
      <c r="B13" s="35"/>
      <c r="C13" s="20"/>
      <c r="D13" s="35"/>
      <c r="E13" s="13"/>
      <c r="F13" s="20"/>
      <c r="G13" s="20"/>
      <c r="H13" s="20"/>
      <c r="I13" s="35"/>
      <c r="J13" s="35"/>
      <c r="K13" s="35"/>
      <c r="L13" s="20"/>
      <c r="M13" s="20"/>
      <c r="N13" s="20"/>
      <c r="O13" s="20"/>
      <c r="P13" s="36"/>
      <c r="Q13" s="37"/>
      <c r="R13" s="36"/>
      <c r="S13" s="36"/>
      <c r="T13" s="38"/>
      <c r="U13" s="39"/>
      <c r="V13" s="40"/>
      <c r="W13" s="40"/>
      <c r="X13" s="13"/>
    </row>
    <row r="14" customFormat="false" ht="15" hidden="false" customHeight="true" outlineLevel="0" collapsed="false">
      <c r="A14" s="35"/>
      <c r="B14" s="35"/>
      <c r="C14" s="20"/>
      <c r="D14" s="35"/>
      <c r="E14" s="13"/>
      <c r="F14" s="20"/>
      <c r="G14" s="20"/>
      <c r="H14" s="20"/>
      <c r="I14" s="35"/>
      <c r="J14" s="35"/>
      <c r="K14" s="35"/>
      <c r="L14" s="20"/>
      <c r="M14" s="20"/>
      <c r="N14" s="20"/>
      <c r="O14" s="20"/>
      <c r="P14" s="36"/>
      <c r="Q14" s="37"/>
      <c r="R14" s="36"/>
      <c r="S14" s="36"/>
      <c r="T14" s="38"/>
      <c r="U14" s="39"/>
      <c r="V14" s="40"/>
      <c r="W14" s="40"/>
      <c r="X14" s="13"/>
    </row>
    <row r="15" customFormat="false" ht="15" hidden="false" customHeight="true" outlineLevel="0" collapsed="false">
      <c r="A15" s="35"/>
      <c r="B15" s="35"/>
      <c r="C15" s="20"/>
      <c r="D15" s="35"/>
      <c r="E15" s="13"/>
      <c r="F15" s="20"/>
      <c r="G15" s="20"/>
      <c r="H15" s="20"/>
      <c r="I15" s="35"/>
      <c r="J15" s="35"/>
      <c r="K15" s="35"/>
      <c r="L15" s="20"/>
      <c r="M15" s="20"/>
      <c r="N15" s="20"/>
      <c r="O15" s="20"/>
      <c r="P15" s="36"/>
      <c r="Q15" s="37"/>
      <c r="R15" s="36"/>
      <c r="S15" s="36"/>
      <c r="T15" s="38"/>
      <c r="U15" s="39"/>
      <c r="V15" s="40"/>
      <c r="W15" s="40"/>
      <c r="X15" s="13"/>
    </row>
    <row r="16" customFormat="false" ht="15" hidden="false" customHeight="true" outlineLevel="0" collapsed="false">
      <c r="A16" s="35"/>
      <c r="B16" s="35"/>
      <c r="C16" s="20"/>
      <c r="D16" s="35"/>
      <c r="E16" s="13"/>
      <c r="F16" s="20"/>
      <c r="G16" s="20"/>
      <c r="H16" s="20"/>
      <c r="I16" s="35"/>
      <c r="J16" s="35"/>
      <c r="K16" s="35"/>
      <c r="L16" s="20"/>
      <c r="M16" s="20"/>
      <c r="N16" s="20"/>
      <c r="O16" s="20"/>
      <c r="P16" s="36"/>
      <c r="Q16" s="37"/>
      <c r="R16" s="36"/>
      <c r="S16" s="36"/>
      <c r="T16" s="38"/>
      <c r="U16" s="39"/>
      <c r="V16" s="40"/>
      <c r="W16" s="40"/>
      <c r="X16" s="13"/>
    </row>
    <row r="17" customFormat="false" ht="15" hidden="false" customHeight="true" outlineLevel="0" collapsed="false">
      <c r="A17" s="35"/>
      <c r="B17" s="35"/>
      <c r="C17" s="20"/>
      <c r="D17" s="35"/>
      <c r="E17" s="13"/>
      <c r="F17" s="20"/>
      <c r="G17" s="20"/>
      <c r="H17" s="20"/>
      <c r="I17" s="35"/>
      <c r="J17" s="35"/>
      <c r="K17" s="35"/>
      <c r="L17" s="20"/>
      <c r="M17" s="20"/>
      <c r="N17" s="20"/>
      <c r="O17" s="20"/>
      <c r="P17" s="36"/>
      <c r="Q17" s="37"/>
      <c r="R17" s="36"/>
      <c r="S17" s="36"/>
      <c r="T17" s="38"/>
      <c r="U17" s="39"/>
      <c r="V17" s="40"/>
      <c r="W17" s="40"/>
      <c r="X17" s="13"/>
    </row>
    <row r="18" customFormat="false" ht="15" hidden="false" customHeight="true" outlineLevel="0" collapsed="false">
      <c r="A18" s="35"/>
      <c r="B18" s="35"/>
      <c r="C18" s="20"/>
      <c r="D18" s="35"/>
      <c r="E18" s="13"/>
      <c r="F18" s="20"/>
      <c r="G18" s="20"/>
      <c r="H18" s="20"/>
      <c r="I18" s="35"/>
      <c r="J18" s="35"/>
      <c r="K18" s="35"/>
      <c r="L18" s="20"/>
      <c r="M18" s="20"/>
      <c r="N18" s="20"/>
      <c r="O18" s="20"/>
      <c r="P18" s="36"/>
      <c r="Q18" s="37"/>
      <c r="R18" s="36"/>
      <c r="S18" s="36"/>
      <c r="T18" s="38"/>
      <c r="U18" s="39"/>
      <c r="V18" s="40"/>
      <c r="W18" s="40"/>
      <c r="X18" s="13"/>
    </row>
    <row r="19" customFormat="false" ht="15" hidden="false" customHeight="true" outlineLevel="0" collapsed="false">
      <c r="A19" s="35"/>
      <c r="B19" s="35"/>
      <c r="C19" s="20"/>
      <c r="D19" s="35"/>
      <c r="E19" s="13"/>
      <c r="F19" s="20"/>
      <c r="G19" s="20"/>
      <c r="H19" s="20"/>
      <c r="I19" s="35"/>
      <c r="J19" s="35"/>
      <c r="K19" s="35"/>
      <c r="L19" s="20"/>
      <c r="M19" s="20"/>
      <c r="N19" s="20"/>
      <c r="O19" s="20"/>
      <c r="P19" s="36"/>
      <c r="Q19" s="37"/>
      <c r="R19" s="36"/>
      <c r="S19" s="36"/>
      <c r="T19" s="38"/>
      <c r="U19" s="39"/>
      <c r="V19" s="40"/>
      <c r="W19" s="40"/>
      <c r="X19" s="13"/>
    </row>
    <row r="20" customFormat="false" ht="15" hidden="false" customHeight="true" outlineLevel="0" collapsed="false">
      <c r="A20" s="35"/>
      <c r="B20" s="35"/>
      <c r="C20" s="20"/>
      <c r="D20" s="35"/>
      <c r="E20" s="13"/>
      <c r="F20" s="20"/>
      <c r="G20" s="20"/>
      <c r="H20" s="20"/>
      <c r="I20" s="35"/>
      <c r="J20" s="35"/>
      <c r="K20" s="35"/>
      <c r="L20" s="20"/>
      <c r="M20" s="20"/>
      <c r="N20" s="20"/>
      <c r="O20" s="20"/>
      <c r="P20" s="36"/>
      <c r="Q20" s="37"/>
      <c r="R20" s="36"/>
      <c r="S20" s="36"/>
      <c r="T20" s="38"/>
      <c r="U20" s="39"/>
      <c r="V20" s="40"/>
      <c r="W20" s="40"/>
      <c r="X20" s="13"/>
    </row>
    <row r="21" customFormat="false" ht="15" hidden="false" customHeight="true" outlineLevel="0" collapsed="false">
      <c r="A21" s="35"/>
      <c r="B21" s="35"/>
      <c r="C21" s="20"/>
      <c r="D21" s="35"/>
      <c r="E21" s="13"/>
      <c r="F21" s="20"/>
      <c r="G21" s="20"/>
      <c r="H21" s="20"/>
      <c r="I21" s="35"/>
      <c r="J21" s="35"/>
      <c r="K21" s="35"/>
      <c r="L21" s="20"/>
      <c r="M21" s="20"/>
      <c r="N21" s="20"/>
      <c r="O21" s="20"/>
      <c r="P21" s="36"/>
      <c r="Q21" s="37"/>
      <c r="R21" s="36"/>
      <c r="S21" s="36"/>
      <c r="T21" s="38"/>
      <c r="U21" s="39"/>
      <c r="V21" s="40"/>
      <c r="W21" s="40"/>
      <c r="X21" s="13"/>
    </row>
    <row r="22" customFormat="false" ht="15" hidden="false" customHeight="true" outlineLevel="0" collapsed="false">
      <c r="A22" s="35"/>
      <c r="B22" s="35"/>
      <c r="C22" s="20"/>
      <c r="D22" s="35"/>
      <c r="E22" s="13"/>
      <c r="F22" s="20"/>
      <c r="G22" s="20"/>
      <c r="H22" s="20"/>
      <c r="I22" s="35"/>
      <c r="J22" s="35"/>
      <c r="K22" s="35"/>
      <c r="L22" s="20"/>
      <c r="M22" s="20"/>
      <c r="N22" s="20"/>
      <c r="O22" s="20"/>
      <c r="P22" s="36"/>
      <c r="Q22" s="37"/>
      <c r="R22" s="36"/>
      <c r="S22" s="36"/>
      <c r="T22" s="38"/>
      <c r="U22" s="39"/>
      <c r="V22" s="40"/>
      <c r="W22" s="40"/>
      <c r="X22" s="13"/>
    </row>
    <row r="23" customFormat="false" ht="15" hidden="false" customHeight="true" outlineLevel="0" collapsed="false">
      <c r="A23" s="35"/>
      <c r="B23" s="35"/>
      <c r="C23" s="20"/>
      <c r="D23" s="35"/>
      <c r="E23" s="13"/>
      <c r="F23" s="20"/>
      <c r="G23" s="20"/>
      <c r="H23" s="20"/>
      <c r="I23" s="35"/>
      <c r="J23" s="35"/>
      <c r="K23" s="35"/>
      <c r="L23" s="20"/>
      <c r="M23" s="20"/>
      <c r="N23" s="20"/>
      <c r="O23" s="20"/>
      <c r="P23" s="36"/>
      <c r="Q23" s="37"/>
      <c r="R23" s="36"/>
      <c r="S23" s="36"/>
      <c r="T23" s="38"/>
      <c r="U23" s="39"/>
      <c r="V23" s="40"/>
      <c r="W23" s="40"/>
      <c r="X23" s="13"/>
    </row>
    <row r="24" customFormat="false" ht="15" hidden="false" customHeight="true" outlineLevel="0" collapsed="false">
      <c r="A24" s="35"/>
      <c r="B24" s="35"/>
      <c r="C24" s="20"/>
      <c r="D24" s="35"/>
      <c r="E24" s="13"/>
      <c r="F24" s="20"/>
      <c r="G24" s="20"/>
      <c r="H24" s="20"/>
      <c r="I24" s="35"/>
      <c r="J24" s="35"/>
      <c r="K24" s="35"/>
      <c r="L24" s="20"/>
      <c r="M24" s="20"/>
      <c r="N24" s="20"/>
      <c r="O24" s="20"/>
      <c r="P24" s="36"/>
      <c r="Q24" s="37"/>
      <c r="R24" s="36"/>
      <c r="S24" s="36"/>
      <c r="T24" s="38"/>
      <c r="U24" s="39"/>
      <c r="V24" s="40"/>
      <c r="W24" s="40"/>
      <c r="X24" s="13"/>
    </row>
  </sheetData>
  <mergeCells count="1">
    <mergeCell ref="A1:H1"/>
  </mergeCells>
  <dataValidations count="3">
    <dataValidation allowBlank="true" errorStyle="stop" operator="between" showDropDown="false" showErrorMessage="false" showInputMessage="false" sqref="J4:J24" type="list">
      <formula1>"VCP / 3C,Cup-with-handle,Cheat,Livermore PP,Power Play,Primary base"</formula1>
      <formula2>0</formula2>
    </dataValidation>
    <dataValidation allowBlank="true" errorStyle="stop" operator="between" showDropDown="false" showErrorMessage="false" showInputMessage="false" sqref="F4:F24" type="list">
      <formula1>"1 - Base,2 - Advance,3 - Top,4 - Decline"</formula1>
      <formula2>0</formula2>
    </dataValidation>
    <dataValidation allowBlank="true" errorStyle="stop" operator="between" showDropDown="false" showErrorMessage="false" showInputMessage="false" sqref="L4:O24" type="list">
      <formula1>"Y"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2"/>
    <col collapsed="false" customWidth="true" hidden="false" outlineLevel="0" max="3" min="3" style="1" width="7"/>
    <col collapsed="false" customWidth="true" hidden="false" outlineLevel="0" max="4" min="4" style="1" width="16"/>
    <col collapsed="false" customWidth="true" hidden="false" outlineLevel="0" max="5" min="5" style="1" width="30"/>
    <col collapsed="false" customWidth="true" hidden="false" outlineLevel="0" max="7" min="6" style="1" width="7"/>
    <col collapsed="false" customWidth="true" hidden="false" outlineLevel="0" max="8" min="8" style="1" width="6"/>
    <col collapsed="false" customWidth="true" hidden="false" outlineLevel="0" max="10" min="9" style="1" width="14"/>
    <col collapsed="false" customWidth="true" hidden="false" outlineLevel="0" max="11" min="11" style="1" width="13"/>
    <col collapsed="false" customWidth="true" hidden="false" outlineLevel="0" max="12" min="12" style="1" width="6"/>
    <col collapsed="false" customWidth="true" hidden="false" outlineLevel="0" max="13" min="13" style="1" width="7"/>
    <col collapsed="false" customWidth="true" hidden="false" outlineLevel="0" max="14" min="14" style="1" width="8"/>
    <col collapsed="false" customWidth="true" hidden="false" outlineLevel="0" max="15" min="15" style="1" width="5"/>
    <col collapsed="false" customWidth="true" hidden="false" outlineLevel="0" max="16" min="16" style="1" width="10"/>
    <col collapsed="false" customWidth="true" hidden="false" outlineLevel="0" max="17" min="17" style="1" width="11"/>
    <col collapsed="false" customWidth="true" hidden="false" outlineLevel="0" max="18" min="18" style="1" width="10"/>
    <col collapsed="false" customWidth="true" hidden="false" outlineLevel="0" max="19" min="19" style="1" width="9"/>
    <col collapsed="false" customWidth="true" hidden="false" outlineLevel="0" max="21" min="20" style="1" width="8"/>
    <col collapsed="false" customWidth="true" hidden="false" outlineLevel="0" max="23" min="22" style="1" width="11"/>
    <col collapsed="false" customWidth="true" hidden="false" outlineLevel="0" max="24" min="24" style="1" width="28"/>
  </cols>
  <sheetData>
    <row r="1" customFormat="false" ht="17.25" hidden="false" customHeight="true" outlineLevel="0" collapsed="false">
      <c r="A1" s="25" t="s">
        <v>113</v>
      </c>
      <c r="B1" s="25"/>
      <c r="C1" s="25"/>
      <c r="D1" s="25"/>
      <c r="E1" s="25"/>
      <c r="F1" s="25"/>
      <c r="G1" s="25"/>
      <c r="H1" s="25"/>
    </row>
    <row r="3" customFormat="false" ht="30" hidden="false" customHeight="true" outlineLevel="0" collapsed="false">
      <c r="A3" s="41" t="s">
        <v>69</v>
      </c>
      <c r="B3" s="41" t="s">
        <v>70</v>
      </c>
      <c r="C3" s="41" t="s">
        <v>71</v>
      </c>
      <c r="D3" s="41" t="s">
        <v>72</v>
      </c>
      <c r="E3" s="41" t="s">
        <v>73</v>
      </c>
      <c r="F3" s="41" t="s">
        <v>74</v>
      </c>
      <c r="G3" s="41" t="s">
        <v>75</v>
      </c>
      <c r="H3" s="41" t="s">
        <v>76</v>
      </c>
      <c r="I3" s="41" t="s">
        <v>77</v>
      </c>
      <c r="J3" s="41" t="s">
        <v>38</v>
      </c>
      <c r="K3" s="41" t="s">
        <v>78</v>
      </c>
      <c r="L3" s="41" t="s">
        <v>79</v>
      </c>
      <c r="M3" s="41" t="s">
        <v>80</v>
      </c>
      <c r="N3" s="41" t="s">
        <v>81</v>
      </c>
      <c r="O3" s="41" t="s">
        <v>35</v>
      </c>
      <c r="P3" s="41" t="s">
        <v>82</v>
      </c>
      <c r="Q3" s="41" t="s">
        <v>83</v>
      </c>
      <c r="R3" s="41" t="s">
        <v>84</v>
      </c>
      <c r="S3" s="41" t="s">
        <v>85</v>
      </c>
      <c r="T3" s="41" t="s">
        <v>86</v>
      </c>
      <c r="U3" s="41" t="s">
        <v>87</v>
      </c>
      <c r="V3" s="41" t="s">
        <v>88</v>
      </c>
      <c r="W3" s="41" t="s">
        <v>89</v>
      </c>
      <c r="X3" s="41" t="s">
        <v>90</v>
      </c>
    </row>
    <row r="4" customFormat="false" ht="23.25" hidden="false" customHeight="true" outlineLevel="0" collapsed="false">
      <c r="A4" s="27" t="s">
        <v>114</v>
      </c>
      <c r="B4" s="27" t="s">
        <v>115</v>
      </c>
      <c r="C4" s="28" t="s">
        <v>93</v>
      </c>
      <c r="D4" s="27" t="s">
        <v>116</v>
      </c>
      <c r="E4" s="29" t="s">
        <v>117</v>
      </c>
      <c r="F4" s="28" t="s">
        <v>96</v>
      </c>
      <c r="G4" s="28" t="s">
        <v>97</v>
      </c>
      <c r="H4" s="28" t="n">
        <v>70</v>
      </c>
      <c r="I4" s="28" t="s">
        <v>98</v>
      </c>
      <c r="J4" s="27" t="s">
        <v>42</v>
      </c>
      <c r="K4" s="27" t="s">
        <v>118</v>
      </c>
      <c r="L4" s="28" t="s">
        <v>29</v>
      </c>
      <c r="M4" s="28" t="s">
        <v>29</v>
      </c>
      <c r="N4" s="28"/>
      <c r="O4" s="28"/>
      <c r="P4" s="30" t="n">
        <v>26.54</v>
      </c>
      <c r="Q4" s="31" t="n">
        <f aca="false">IF(P4="","",P4*(1+Dashboard!$B$8))</f>
        <v>27.867</v>
      </c>
      <c r="R4" s="30" t="n">
        <v>26.54</v>
      </c>
      <c r="S4" s="30" t="n">
        <v>23.43</v>
      </c>
      <c r="T4" s="32" t="n">
        <f aca="false">IF(OR(R4="",S4="",R4=0),"",(R4-S4)/R4)</f>
        <v>0.117181612660136</v>
      </c>
      <c r="U4" s="33" t="n">
        <f aca="false">IF(OR(R4="",S4="",R4=S4),"",ROUND(Dashboard!$B$7/(R4-S4),0))</f>
        <v>402</v>
      </c>
      <c r="V4" s="34" t="s">
        <v>100</v>
      </c>
      <c r="W4" s="34" t="n">
        <v>46167</v>
      </c>
      <c r="X4" s="29" t="s">
        <v>119</v>
      </c>
    </row>
    <row r="5" customFormat="false" ht="15" hidden="false" customHeight="true" outlineLevel="0" collapsed="false">
      <c r="A5" s="35"/>
      <c r="B5" s="35"/>
      <c r="C5" s="20"/>
      <c r="D5" s="35"/>
      <c r="E5" s="13"/>
      <c r="F5" s="20"/>
      <c r="G5" s="20"/>
      <c r="H5" s="20"/>
      <c r="I5" s="35"/>
      <c r="J5" s="35"/>
      <c r="K5" s="35"/>
      <c r="L5" s="20"/>
      <c r="M5" s="20"/>
      <c r="N5" s="20"/>
      <c r="O5" s="20"/>
      <c r="P5" s="36"/>
      <c r="Q5" s="37"/>
      <c r="R5" s="36"/>
      <c r="S5" s="36"/>
      <c r="T5" s="38"/>
      <c r="U5" s="39"/>
      <c r="V5" s="40"/>
      <c r="W5" s="40"/>
      <c r="X5" s="13"/>
    </row>
    <row r="6" customFormat="false" ht="15" hidden="false" customHeight="true" outlineLevel="0" collapsed="false">
      <c r="A6" s="35"/>
      <c r="B6" s="35"/>
      <c r="C6" s="20"/>
      <c r="D6" s="35"/>
      <c r="E6" s="13"/>
      <c r="F6" s="20"/>
      <c r="G6" s="20"/>
      <c r="H6" s="20"/>
      <c r="I6" s="35"/>
      <c r="J6" s="35"/>
      <c r="K6" s="35"/>
      <c r="L6" s="20"/>
      <c r="M6" s="20"/>
      <c r="N6" s="20"/>
      <c r="O6" s="20"/>
      <c r="P6" s="36"/>
      <c r="Q6" s="37"/>
      <c r="R6" s="36"/>
      <c r="S6" s="36"/>
      <c r="T6" s="38"/>
      <c r="U6" s="39"/>
      <c r="V6" s="40"/>
      <c r="W6" s="40"/>
      <c r="X6" s="13"/>
    </row>
    <row r="7" customFormat="false" ht="15" hidden="false" customHeight="true" outlineLevel="0" collapsed="false">
      <c r="A7" s="35"/>
      <c r="B7" s="35"/>
      <c r="C7" s="20"/>
      <c r="D7" s="35"/>
      <c r="E7" s="13"/>
      <c r="F7" s="20"/>
      <c r="G7" s="20"/>
      <c r="H7" s="20"/>
      <c r="I7" s="35"/>
      <c r="J7" s="35"/>
      <c r="K7" s="35"/>
      <c r="L7" s="20"/>
      <c r="M7" s="20"/>
      <c r="N7" s="20"/>
      <c r="O7" s="20"/>
      <c r="P7" s="36"/>
      <c r="Q7" s="37"/>
      <c r="R7" s="36"/>
      <c r="S7" s="36"/>
      <c r="T7" s="38"/>
      <c r="U7" s="39"/>
      <c r="V7" s="40"/>
      <c r="W7" s="40"/>
      <c r="X7" s="13"/>
    </row>
    <row r="8" customFormat="false" ht="15" hidden="false" customHeight="true" outlineLevel="0" collapsed="false">
      <c r="A8" s="35"/>
      <c r="B8" s="35"/>
      <c r="C8" s="20"/>
      <c r="D8" s="35"/>
      <c r="E8" s="13"/>
      <c r="F8" s="20"/>
      <c r="G8" s="20"/>
      <c r="H8" s="20"/>
      <c r="I8" s="35"/>
      <c r="J8" s="35"/>
      <c r="K8" s="35"/>
      <c r="L8" s="20"/>
      <c r="M8" s="20"/>
      <c r="N8" s="20"/>
      <c r="O8" s="20"/>
      <c r="P8" s="36"/>
      <c r="Q8" s="37"/>
      <c r="R8" s="36"/>
      <c r="S8" s="36"/>
      <c r="T8" s="38"/>
      <c r="U8" s="39"/>
      <c r="V8" s="40"/>
      <c r="W8" s="40"/>
      <c r="X8" s="13"/>
    </row>
    <row r="9" customFormat="false" ht="15" hidden="false" customHeight="true" outlineLevel="0" collapsed="false">
      <c r="A9" s="35"/>
      <c r="B9" s="35"/>
      <c r="C9" s="20"/>
      <c r="D9" s="35"/>
      <c r="E9" s="13"/>
      <c r="F9" s="20"/>
      <c r="G9" s="20"/>
      <c r="H9" s="20"/>
      <c r="I9" s="35"/>
      <c r="J9" s="35"/>
      <c r="K9" s="35"/>
      <c r="L9" s="20"/>
      <c r="M9" s="20"/>
      <c r="N9" s="20"/>
      <c r="O9" s="20"/>
      <c r="P9" s="36"/>
      <c r="Q9" s="37"/>
      <c r="R9" s="36"/>
      <c r="S9" s="36"/>
      <c r="T9" s="38"/>
      <c r="U9" s="39"/>
      <c r="V9" s="40"/>
      <c r="W9" s="40"/>
      <c r="X9" s="13"/>
    </row>
    <row r="10" customFormat="false" ht="15" hidden="false" customHeight="true" outlineLevel="0" collapsed="false">
      <c r="A10" s="35"/>
      <c r="B10" s="35"/>
      <c r="C10" s="20"/>
      <c r="D10" s="35"/>
      <c r="E10" s="13"/>
      <c r="F10" s="20"/>
      <c r="G10" s="20"/>
      <c r="H10" s="20"/>
      <c r="I10" s="35"/>
      <c r="J10" s="35"/>
      <c r="K10" s="35"/>
      <c r="L10" s="20"/>
      <c r="M10" s="20"/>
      <c r="N10" s="20"/>
      <c r="O10" s="20"/>
      <c r="P10" s="36"/>
      <c r="Q10" s="37"/>
      <c r="R10" s="36"/>
      <c r="S10" s="36"/>
      <c r="T10" s="38"/>
      <c r="U10" s="39"/>
      <c r="V10" s="40"/>
      <c r="W10" s="40"/>
      <c r="X10" s="13"/>
    </row>
    <row r="11" customFormat="false" ht="15" hidden="false" customHeight="true" outlineLevel="0" collapsed="false">
      <c r="A11" s="35"/>
      <c r="B11" s="35"/>
      <c r="C11" s="20"/>
      <c r="D11" s="35"/>
      <c r="E11" s="13"/>
      <c r="F11" s="20"/>
      <c r="G11" s="20"/>
      <c r="H11" s="20"/>
      <c r="I11" s="35"/>
      <c r="J11" s="35"/>
      <c r="K11" s="35"/>
      <c r="L11" s="20"/>
      <c r="M11" s="20"/>
      <c r="N11" s="20"/>
      <c r="O11" s="20"/>
      <c r="P11" s="36"/>
      <c r="Q11" s="37"/>
      <c r="R11" s="36"/>
      <c r="S11" s="36"/>
      <c r="T11" s="38"/>
      <c r="U11" s="39"/>
      <c r="V11" s="40"/>
      <c r="W11" s="40"/>
      <c r="X11" s="13"/>
    </row>
    <row r="12" customFormat="false" ht="15" hidden="false" customHeight="true" outlineLevel="0" collapsed="false">
      <c r="A12" s="35"/>
      <c r="B12" s="35"/>
      <c r="C12" s="20"/>
      <c r="D12" s="35"/>
      <c r="E12" s="13"/>
      <c r="F12" s="20"/>
      <c r="G12" s="20"/>
      <c r="H12" s="20"/>
      <c r="I12" s="35"/>
      <c r="J12" s="35"/>
      <c r="K12" s="35"/>
      <c r="L12" s="20"/>
      <c r="M12" s="20"/>
      <c r="N12" s="20"/>
      <c r="O12" s="20"/>
      <c r="P12" s="36"/>
      <c r="Q12" s="37"/>
      <c r="R12" s="36"/>
      <c r="S12" s="36"/>
      <c r="T12" s="38"/>
      <c r="U12" s="39"/>
      <c r="V12" s="40"/>
      <c r="W12" s="40"/>
      <c r="X12" s="13"/>
    </row>
    <row r="13" customFormat="false" ht="15" hidden="false" customHeight="true" outlineLevel="0" collapsed="false">
      <c r="A13" s="35"/>
      <c r="B13" s="35"/>
      <c r="C13" s="20"/>
      <c r="D13" s="35"/>
      <c r="E13" s="13"/>
      <c r="F13" s="20"/>
      <c r="G13" s="20"/>
      <c r="H13" s="20"/>
      <c r="I13" s="35"/>
      <c r="J13" s="35"/>
      <c r="K13" s="35"/>
      <c r="L13" s="20"/>
      <c r="M13" s="20"/>
      <c r="N13" s="20"/>
      <c r="O13" s="20"/>
      <c r="P13" s="36"/>
      <c r="Q13" s="37"/>
      <c r="R13" s="36"/>
      <c r="S13" s="36"/>
      <c r="T13" s="38"/>
      <c r="U13" s="39"/>
      <c r="V13" s="40"/>
      <c r="W13" s="40"/>
      <c r="X13" s="13"/>
    </row>
    <row r="14" customFormat="false" ht="15" hidden="false" customHeight="true" outlineLevel="0" collapsed="false">
      <c r="A14" s="35"/>
      <c r="B14" s="35"/>
      <c r="C14" s="20"/>
      <c r="D14" s="35"/>
      <c r="E14" s="13"/>
      <c r="F14" s="20"/>
      <c r="G14" s="20"/>
      <c r="H14" s="20"/>
      <c r="I14" s="35"/>
      <c r="J14" s="35"/>
      <c r="K14" s="35"/>
      <c r="L14" s="20"/>
      <c r="M14" s="20"/>
      <c r="N14" s="20"/>
      <c r="O14" s="20"/>
      <c r="P14" s="36"/>
      <c r="Q14" s="37"/>
      <c r="R14" s="36"/>
      <c r="S14" s="36"/>
      <c r="T14" s="38"/>
      <c r="U14" s="39"/>
      <c r="V14" s="40"/>
      <c r="W14" s="40"/>
      <c r="X14" s="13"/>
    </row>
    <row r="15" customFormat="false" ht="15" hidden="false" customHeight="true" outlineLevel="0" collapsed="false">
      <c r="A15" s="35"/>
      <c r="B15" s="35"/>
      <c r="C15" s="20"/>
      <c r="D15" s="35"/>
      <c r="E15" s="13"/>
      <c r="F15" s="20"/>
      <c r="G15" s="20"/>
      <c r="H15" s="20"/>
      <c r="I15" s="35"/>
      <c r="J15" s="35"/>
      <c r="K15" s="35"/>
      <c r="L15" s="20"/>
      <c r="M15" s="20"/>
      <c r="N15" s="20"/>
      <c r="O15" s="20"/>
      <c r="P15" s="36"/>
      <c r="Q15" s="37"/>
      <c r="R15" s="36"/>
      <c r="S15" s="36"/>
      <c r="T15" s="38"/>
      <c r="U15" s="39"/>
      <c r="V15" s="40"/>
      <c r="W15" s="40"/>
      <c r="X15" s="13"/>
    </row>
    <row r="16" customFormat="false" ht="15" hidden="false" customHeight="true" outlineLevel="0" collapsed="false">
      <c r="A16" s="35"/>
      <c r="B16" s="35"/>
      <c r="C16" s="20"/>
      <c r="D16" s="35"/>
      <c r="E16" s="13"/>
      <c r="F16" s="20"/>
      <c r="G16" s="20"/>
      <c r="H16" s="20"/>
      <c r="I16" s="35"/>
      <c r="J16" s="35"/>
      <c r="K16" s="35"/>
      <c r="L16" s="20"/>
      <c r="M16" s="20"/>
      <c r="N16" s="20"/>
      <c r="O16" s="20"/>
      <c r="P16" s="36"/>
      <c r="Q16" s="37"/>
      <c r="R16" s="36"/>
      <c r="S16" s="36"/>
      <c r="T16" s="38"/>
      <c r="U16" s="39"/>
      <c r="V16" s="40"/>
      <c r="W16" s="40"/>
      <c r="X16" s="13"/>
    </row>
    <row r="17" customFormat="false" ht="15" hidden="false" customHeight="true" outlineLevel="0" collapsed="false">
      <c r="A17" s="35"/>
      <c r="B17" s="35"/>
      <c r="C17" s="20"/>
      <c r="D17" s="35"/>
      <c r="E17" s="13"/>
      <c r="F17" s="20"/>
      <c r="G17" s="20"/>
      <c r="H17" s="20"/>
      <c r="I17" s="35"/>
      <c r="J17" s="35"/>
      <c r="K17" s="35"/>
      <c r="L17" s="20"/>
      <c r="M17" s="20"/>
      <c r="N17" s="20"/>
      <c r="O17" s="20"/>
      <c r="P17" s="36"/>
      <c r="Q17" s="37"/>
      <c r="R17" s="36"/>
      <c r="S17" s="36"/>
      <c r="T17" s="38"/>
      <c r="U17" s="39"/>
      <c r="V17" s="40"/>
      <c r="W17" s="40"/>
      <c r="X17" s="13"/>
    </row>
    <row r="18" customFormat="false" ht="15" hidden="false" customHeight="true" outlineLevel="0" collapsed="false">
      <c r="A18" s="35"/>
      <c r="B18" s="35"/>
      <c r="C18" s="20"/>
      <c r="D18" s="35"/>
      <c r="E18" s="13"/>
      <c r="F18" s="20"/>
      <c r="G18" s="20"/>
      <c r="H18" s="20"/>
      <c r="I18" s="35"/>
      <c r="J18" s="35"/>
      <c r="K18" s="35"/>
      <c r="L18" s="20"/>
      <c r="M18" s="20"/>
      <c r="N18" s="20"/>
      <c r="O18" s="20"/>
      <c r="P18" s="36"/>
      <c r="Q18" s="37"/>
      <c r="R18" s="36"/>
      <c r="S18" s="36"/>
      <c r="T18" s="38"/>
      <c r="U18" s="39"/>
      <c r="V18" s="40"/>
      <c r="W18" s="40"/>
      <c r="X18" s="13"/>
    </row>
    <row r="19" customFormat="false" ht="15" hidden="false" customHeight="true" outlineLevel="0" collapsed="false">
      <c r="A19" s="35"/>
      <c r="B19" s="35"/>
      <c r="C19" s="20"/>
      <c r="D19" s="35"/>
      <c r="E19" s="13"/>
      <c r="F19" s="20"/>
      <c r="G19" s="20"/>
      <c r="H19" s="20"/>
      <c r="I19" s="35"/>
      <c r="J19" s="35"/>
      <c r="K19" s="35"/>
      <c r="L19" s="20"/>
      <c r="M19" s="20"/>
      <c r="N19" s="20"/>
      <c r="O19" s="20"/>
      <c r="P19" s="36"/>
      <c r="Q19" s="37"/>
      <c r="R19" s="36"/>
      <c r="S19" s="36"/>
      <c r="T19" s="38"/>
      <c r="U19" s="39"/>
      <c r="V19" s="40"/>
      <c r="W19" s="40"/>
      <c r="X19" s="13"/>
    </row>
    <row r="20" customFormat="false" ht="15" hidden="false" customHeight="true" outlineLevel="0" collapsed="false">
      <c r="A20" s="35"/>
      <c r="B20" s="35"/>
      <c r="C20" s="20"/>
      <c r="D20" s="35"/>
      <c r="E20" s="13"/>
      <c r="F20" s="20"/>
      <c r="G20" s="20"/>
      <c r="H20" s="20"/>
      <c r="I20" s="35"/>
      <c r="J20" s="35"/>
      <c r="K20" s="35"/>
      <c r="L20" s="20"/>
      <c r="M20" s="20"/>
      <c r="N20" s="20"/>
      <c r="O20" s="20"/>
      <c r="P20" s="36"/>
      <c r="Q20" s="37"/>
      <c r="R20" s="36"/>
      <c r="S20" s="36"/>
      <c r="T20" s="38"/>
      <c r="U20" s="39"/>
      <c r="V20" s="40"/>
      <c r="W20" s="40"/>
      <c r="X20" s="13"/>
    </row>
    <row r="21" customFormat="false" ht="15" hidden="false" customHeight="true" outlineLevel="0" collapsed="false">
      <c r="A21" s="35"/>
      <c r="B21" s="35"/>
      <c r="C21" s="20"/>
      <c r="D21" s="35"/>
      <c r="E21" s="13"/>
      <c r="F21" s="20"/>
      <c r="G21" s="20"/>
      <c r="H21" s="20"/>
      <c r="I21" s="35"/>
      <c r="J21" s="35"/>
      <c r="K21" s="35"/>
      <c r="L21" s="20"/>
      <c r="M21" s="20"/>
      <c r="N21" s="20"/>
      <c r="O21" s="20"/>
      <c r="P21" s="36"/>
      <c r="Q21" s="37"/>
      <c r="R21" s="36"/>
      <c r="S21" s="36"/>
      <c r="T21" s="38"/>
      <c r="U21" s="39"/>
      <c r="V21" s="40"/>
      <c r="W21" s="40"/>
      <c r="X21" s="13"/>
    </row>
    <row r="22" customFormat="false" ht="15" hidden="false" customHeight="true" outlineLevel="0" collapsed="false">
      <c r="A22" s="35"/>
      <c r="B22" s="35"/>
      <c r="C22" s="20"/>
      <c r="D22" s="35"/>
      <c r="E22" s="13"/>
      <c r="F22" s="20"/>
      <c r="G22" s="20"/>
      <c r="H22" s="20"/>
      <c r="I22" s="35"/>
      <c r="J22" s="35"/>
      <c r="K22" s="35"/>
      <c r="L22" s="20"/>
      <c r="M22" s="20"/>
      <c r="N22" s="20"/>
      <c r="O22" s="20"/>
      <c r="P22" s="36"/>
      <c r="Q22" s="37"/>
      <c r="R22" s="36"/>
      <c r="S22" s="36"/>
      <c r="T22" s="38"/>
      <c r="U22" s="39"/>
      <c r="V22" s="40"/>
      <c r="W22" s="40"/>
      <c r="X22" s="13"/>
    </row>
    <row r="23" customFormat="false" ht="15" hidden="false" customHeight="true" outlineLevel="0" collapsed="false">
      <c r="A23" s="35"/>
      <c r="B23" s="35"/>
      <c r="C23" s="20"/>
      <c r="D23" s="35"/>
      <c r="E23" s="13"/>
      <c r="F23" s="20"/>
      <c r="G23" s="20"/>
      <c r="H23" s="20"/>
      <c r="I23" s="35"/>
      <c r="J23" s="35"/>
      <c r="K23" s="35"/>
      <c r="L23" s="20"/>
      <c r="M23" s="20"/>
      <c r="N23" s="20"/>
      <c r="O23" s="20"/>
      <c r="P23" s="36"/>
      <c r="Q23" s="37"/>
      <c r="R23" s="36"/>
      <c r="S23" s="36"/>
      <c r="T23" s="38"/>
      <c r="U23" s="39"/>
      <c r="V23" s="40"/>
      <c r="W23" s="40"/>
      <c r="X23" s="13"/>
    </row>
    <row r="24" customFormat="false" ht="15" hidden="false" customHeight="true" outlineLevel="0" collapsed="false">
      <c r="A24" s="35"/>
      <c r="B24" s="35"/>
      <c r="C24" s="20"/>
      <c r="D24" s="35"/>
      <c r="E24" s="13"/>
      <c r="F24" s="20"/>
      <c r="G24" s="20"/>
      <c r="H24" s="20"/>
      <c r="I24" s="35"/>
      <c r="J24" s="35"/>
      <c r="K24" s="35"/>
      <c r="L24" s="20"/>
      <c r="M24" s="20"/>
      <c r="N24" s="20"/>
      <c r="O24" s="20"/>
      <c r="P24" s="36"/>
      <c r="Q24" s="37"/>
      <c r="R24" s="36"/>
      <c r="S24" s="36"/>
      <c r="T24" s="38"/>
      <c r="U24" s="39"/>
      <c r="V24" s="40"/>
      <c r="W24" s="40"/>
      <c r="X24" s="13"/>
    </row>
  </sheetData>
  <mergeCells count="1">
    <mergeCell ref="A1:H1"/>
  </mergeCells>
  <dataValidations count="3">
    <dataValidation allowBlank="true" errorStyle="stop" operator="between" showDropDown="false" showErrorMessage="false" showInputMessage="false" sqref="L4:O24" type="list">
      <formula1>"Y"</formula1>
      <formula2>0</formula2>
    </dataValidation>
    <dataValidation allowBlank="true" errorStyle="stop" operator="between" showDropDown="false" showErrorMessage="false" showInputMessage="false" sqref="J4:J24" type="list">
      <formula1>"VCP / 3C,Cup-with-handle,Cheat,Livermore PP,Power Play,Primary base"</formula1>
      <formula2>0</formula2>
    </dataValidation>
    <dataValidation allowBlank="true" errorStyle="stop" operator="between" showDropDown="false" showErrorMessage="false" showInputMessage="false" sqref="F4:F24" type="list">
      <formula1>"1 - Base,2 - Advance,3 - Top,4 - Decline"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2"/>
    <col collapsed="false" customWidth="true" hidden="false" outlineLevel="0" max="3" min="3" style="1" width="7"/>
    <col collapsed="false" customWidth="true" hidden="false" outlineLevel="0" max="4" min="4" style="1" width="16"/>
    <col collapsed="false" customWidth="true" hidden="false" outlineLevel="0" max="5" min="5" style="1" width="30"/>
    <col collapsed="false" customWidth="true" hidden="false" outlineLevel="0" max="7" min="6" style="1" width="7"/>
    <col collapsed="false" customWidth="true" hidden="false" outlineLevel="0" max="8" min="8" style="1" width="6"/>
    <col collapsed="false" customWidth="true" hidden="false" outlineLevel="0" max="10" min="9" style="1" width="14"/>
    <col collapsed="false" customWidth="true" hidden="false" outlineLevel="0" max="11" min="11" style="1" width="13"/>
    <col collapsed="false" customWidth="true" hidden="false" outlineLevel="0" max="12" min="12" style="1" width="6"/>
    <col collapsed="false" customWidth="true" hidden="false" outlineLevel="0" max="13" min="13" style="1" width="7"/>
    <col collapsed="false" customWidth="true" hidden="false" outlineLevel="0" max="14" min="14" style="1" width="8"/>
    <col collapsed="false" customWidth="true" hidden="false" outlineLevel="0" max="15" min="15" style="1" width="5"/>
    <col collapsed="false" customWidth="true" hidden="false" outlineLevel="0" max="16" min="16" style="1" width="10"/>
    <col collapsed="false" customWidth="true" hidden="false" outlineLevel="0" max="17" min="17" style="1" width="11"/>
    <col collapsed="false" customWidth="true" hidden="false" outlineLevel="0" max="18" min="18" style="1" width="10"/>
    <col collapsed="false" customWidth="true" hidden="false" outlineLevel="0" max="19" min="19" style="1" width="9"/>
    <col collapsed="false" customWidth="true" hidden="false" outlineLevel="0" max="21" min="20" style="1" width="8"/>
    <col collapsed="false" customWidth="true" hidden="false" outlineLevel="0" max="23" min="22" style="1" width="11"/>
    <col collapsed="false" customWidth="true" hidden="false" outlineLevel="0" max="24" min="24" style="1" width="28"/>
  </cols>
  <sheetData>
    <row r="1" customFormat="false" ht="17.25" hidden="false" customHeight="true" outlineLevel="0" collapsed="false">
      <c r="A1" s="25" t="s">
        <v>120</v>
      </c>
      <c r="B1" s="25"/>
      <c r="C1" s="25"/>
      <c r="D1" s="25"/>
      <c r="E1" s="25"/>
      <c r="F1" s="25"/>
      <c r="G1" s="25"/>
      <c r="H1" s="25"/>
    </row>
    <row r="3" customFormat="false" ht="30" hidden="false" customHeight="true" outlineLevel="0" collapsed="false">
      <c r="A3" s="42" t="s">
        <v>69</v>
      </c>
      <c r="B3" s="42" t="s">
        <v>70</v>
      </c>
      <c r="C3" s="42" t="s">
        <v>71</v>
      </c>
      <c r="D3" s="42" t="s">
        <v>72</v>
      </c>
      <c r="E3" s="42" t="s">
        <v>73</v>
      </c>
      <c r="F3" s="42" t="s">
        <v>74</v>
      </c>
      <c r="G3" s="42" t="s">
        <v>75</v>
      </c>
      <c r="H3" s="42" t="s">
        <v>76</v>
      </c>
      <c r="I3" s="42" t="s">
        <v>77</v>
      </c>
      <c r="J3" s="42" t="s">
        <v>38</v>
      </c>
      <c r="K3" s="42" t="s">
        <v>78</v>
      </c>
      <c r="L3" s="42" t="s">
        <v>79</v>
      </c>
      <c r="M3" s="42" t="s">
        <v>80</v>
      </c>
      <c r="N3" s="42" t="s">
        <v>81</v>
      </c>
      <c r="O3" s="42" t="s">
        <v>35</v>
      </c>
      <c r="P3" s="42" t="s">
        <v>82</v>
      </c>
      <c r="Q3" s="42" t="s">
        <v>83</v>
      </c>
      <c r="R3" s="42" t="s">
        <v>84</v>
      </c>
      <c r="S3" s="42" t="s">
        <v>85</v>
      </c>
      <c r="T3" s="42" t="s">
        <v>86</v>
      </c>
      <c r="U3" s="42" t="s">
        <v>87</v>
      </c>
      <c r="V3" s="42" t="s">
        <v>88</v>
      </c>
      <c r="W3" s="42" t="s">
        <v>89</v>
      </c>
      <c r="X3" s="42" t="s">
        <v>90</v>
      </c>
    </row>
    <row r="4" customFormat="false" ht="23.25" hidden="false" customHeight="true" outlineLevel="0" collapsed="false">
      <c r="A4" s="27" t="s">
        <v>121</v>
      </c>
      <c r="B4" s="27" t="s">
        <v>122</v>
      </c>
      <c r="C4" s="28" t="s">
        <v>93</v>
      </c>
      <c r="D4" s="27" t="s">
        <v>123</v>
      </c>
      <c r="E4" s="29" t="s">
        <v>124</v>
      </c>
      <c r="F4" s="28" t="s">
        <v>96</v>
      </c>
      <c r="G4" s="28" t="s">
        <v>97</v>
      </c>
      <c r="H4" s="28" t="n">
        <v>79</v>
      </c>
      <c r="I4" s="28" t="s">
        <v>98</v>
      </c>
      <c r="J4" s="27" t="s">
        <v>42</v>
      </c>
      <c r="K4" s="27" t="s">
        <v>125</v>
      </c>
      <c r="L4" s="28" t="s">
        <v>29</v>
      </c>
      <c r="M4" s="28" t="s">
        <v>29</v>
      </c>
      <c r="N4" s="28" t="s">
        <v>29</v>
      </c>
      <c r="O4" s="28"/>
      <c r="P4" s="30" t="n">
        <v>37.88</v>
      </c>
      <c r="Q4" s="31" t="n">
        <f aca="false">IF(P4="","",P4*(1+Dashboard!$B$8))</f>
        <v>39.774</v>
      </c>
      <c r="R4" s="30" t="n">
        <v>37.88</v>
      </c>
      <c r="S4" s="30" t="n">
        <v>34.51</v>
      </c>
      <c r="T4" s="32" t="n">
        <f aca="false">IF(OR(R4="",S4="",R4=0),"",(R4-S4)/R4)</f>
        <v>0.0889651531151004</v>
      </c>
      <c r="U4" s="33" t="n">
        <f aca="false">IF(OR(R4="",S4="",R4=S4),"",ROUND(Dashboard!$B$7/(R4-S4),0))</f>
        <v>371</v>
      </c>
      <c r="V4" s="34" t="s">
        <v>100</v>
      </c>
      <c r="W4" s="34" t="n">
        <v>46167</v>
      </c>
      <c r="X4" s="29" t="s">
        <v>126</v>
      </c>
    </row>
    <row r="5" customFormat="false" ht="23.25" hidden="false" customHeight="true" outlineLevel="0" collapsed="false">
      <c r="A5" s="27" t="s">
        <v>127</v>
      </c>
      <c r="B5" s="27" t="s">
        <v>128</v>
      </c>
      <c r="C5" s="28" t="s">
        <v>93</v>
      </c>
      <c r="D5" s="27" t="s">
        <v>129</v>
      </c>
      <c r="E5" s="29" t="s">
        <v>130</v>
      </c>
      <c r="F5" s="28" t="s">
        <v>96</v>
      </c>
      <c r="G5" s="28" t="s">
        <v>97</v>
      </c>
      <c r="H5" s="28" t="n">
        <v>89</v>
      </c>
      <c r="I5" s="28" t="s">
        <v>98</v>
      </c>
      <c r="J5" s="27" t="s">
        <v>58</v>
      </c>
      <c r="K5" s="27" t="s">
        <v>131</v>
      </c>
      <c r="L5" s="28" t="s">
        <v>29</v>
      </c>
      <c r="M5" s="28" t="s">
        <v>29</v>
      </c>
      <c r="N5" s="28" t="s">
        <v>29</v>
      </c>
      <c r="O5" s="28"/>
      <c r="P5" s="30" t="n">
        <v>16.44</v>
      </c>
      <c r="Q5" s="31" t="n">
        <f aca="false">IF(P5="","",P5*(1+Dashboard!$B$8))</f>
        <v>17.262</v>
      </c>
      <c r="R5" s="30" t="n">
        <v>16.44</v>
      </c>
      <c r="S5" s="30" t="n">
        <v>14.87</v>
      </c>
      <c r="T5" s="32" t="n">
        <f aca="false">IF(OR(R5="",S5="",R5=0),"",(R5-S5)/R5)</f>
        <v>0.095498783454988</v>
      </c>
      <c r="U5" s="33" t="n">
        <f aca="false">IF(OR(R5="",S5="",R5=S5),"",ROUND(Dashboard!$B$7/(R5-S5),0))</f>
        <v>796</v>
      </c>
      <c r="V5" s="34" t="s">
        <v>100</v>
      </c>
      <c r="W5" s="34" t="n">
        <v>46167</v>
      </c>
      <c r="X5" s="29" t="s">
        <v>132</v>
      </c>
    </row>
    <row r="6" customFormat="false" ht="15" hidden="false" customHeight="true" outlineLevel="0" collapsed="false">
      <c r="A6" s="27" t="s">
        <v>133</v>
      </c>
      <c r="B6" s="27" t="s">
        <v>134</v>
      </c>
      <c r="C6" s="28" t="s">
        <v>93</v>
      </c>
      <c r="D6" s="27" t="s">
        <v>135</v>
      </c>
      <c r="E6" s="29" t="s">
        <v>136</v>
      </c>
      <c r="F6" s="28" t="s">
        <v>96</v>
      </c>
      <c r="G6" s="28" t="s">
        <v>97</v>
      </c>
      <c r="H6" s="28" t="n">
        <v>94</v>
      </c>
      <c r="I6" s="28" t="s">
        <v>111</v>
      </c>
      <c r="J6" s="27" t="s">
        <v>58</v>
      </c>
      <c r="K6" s="27" t="s">
        <v>131</v>
      </c>
      <c r="L6" s="28" t="s">
        <v>29</v>
      </c>
      <c r="M6" s="28" t="s">
        <v>29</v>
      </c>
      <c r="N6" s="28" t="s">
        <v>29</v>
      </c>
      <c r="O6" s="28"/>
      <c r="P6" s="30" t="n">
        <v>17.58</v>
      </c>
      <c r="Q6" s="31" t="n">
        <f aca="false">IF(P6="","",P6*(1+Dashboard!$B$8))</f>
        <v>18.459</v>
      </c>
      <c r="R6" s="30" t="n">
        <v>17.58</v>
      </c>
      <c r="S6" s="30" t="n">
        <v>15.9</v>
      </c>
      <c r="T6" s="32" t="n">
        <f aca="false">IF(OR(R6="",S6="",R6=0),"",(R6-S6)/R6)</f>
        <v>0.0955631399317405</v>
      </c>
      <c r="U6" s="33" t="n">
        <f aca="false">IF(OR(R6="",S6="",R6=S6),"",ROUND(Dashboard!$B$7/(R6-S6),0))</f>
        <v>744</v>
      </c>
      <c r="V6" s="34" t="s">
        <v>100</v>
      </c>
      <c r="W6" s="34" t="n">
        <v>46167</v>
      </c>
      <c r="X6" s="29" t="s">
        <v>137</v>
      </c>
    </row>
    <row r="7" customFormat="false" ht="15" hidden="false" customHeight="true" outlineLevel="0" collapsed="false">
      <c r="A7" s="35"/>
      <c r="B7" s="35"/>
      <c r="C7" s="20"/>
      <c r="D7" s="35"/>
      <c r="E7" s="13"/>
      <c r="F7" s="20"/>
      <c r="G7" s="20"/>
      <c r="H7" s="20"/>
      <c r="I7" s="35"/>
      <c r="J7" s="35"/>
      <c r="K7" s="35"/>
      <c r="L7" s="20"/>
      <c r="M7" s="20"/>
      <c r="N7" s="20"/>
      <c r="O7" s="20"/>
      <c r="P7" s="36"/>
      <c r="Q7" s="37"/>
      <c r="R7" s="36"/>
      <c r="S7" s="36"/>
      <c r="T7" s="38"/>
      <c r="U7" s="39"/>
      <c r="V7" s="40"/>
      <c r="W7" s="40"/>
      <c r="X7" s="13"/>
    </row>
    <row r="8" customFormat="false" ht="15" hidden="false" customHeight="true" outlineLevel="0" collapsed="false">
      <c r="A8" s="35"/>
      <c r="B8" s="35"/>
      <c r="C8" s="20"/>
      <c r="D8" s="35"/>
      <c r="E8" s="13"/>
      <c r="F8" s="20"/>
      <c r="G8" s="20"/>
      <c r="H8" s="20"/>
      <c r="I8" s="35"/>
      <c r="J8" s="35"/>
      <c r="K8" s="35"/>
      <c r="L8" s="20"/>
      <c r="M8" s="20"/>
      <c r="N8" s="20"/>
      <c r="O8" s="20"/>
      <c r="P8" s="36"/>
      <c r="Q8" s="37"/>
      <c r="R8" s="36"/>
      <c r="S8" s="36"/>
      <c r="T8" s="38"/>
      <c r="U8" s="39"/>
      <c r="V8" s="40"/>
      <c r="W8" s="40"/>
      <c r="X8" s="13"/>
    </row>
    <row r="9" customFormat="false" ht="15" hidden="false" customHeight="true" outlineLevel="0" collapsed="false">
      <c r="A9" s="35"/>
      <c r="B9" s="35"/>
      <c r="C9" s="20"/>
      <c r="D9" s="35"/>
      <c r="E9" s="13"/>
      <c r="F9" s="20"/>
      <c r="G9" s="20"/>
      <c r="H9" s="20"/>
      <c r="I9" s="35"/>
      <c r="J9" s="35"/>
      <c r="K9" s="35"/>
      <c r="L9" s="20"/>
      <c r="M9" s="20"/>
      <c r="N9" s="20"/>
      <c r="O9" s="20"/>
      <c r="P9" s="36"/>
      <c r="Q9" s="37"/>
      <c r="R9" s="36"/>
      <c r="S9" s="36"/>
      <c r="T9" s="38"/>
      <c r="U9" s="39"/>
      <c r="V9" s="40"/>
      <c r="W9" s="40"/>
      <c r="X9" s="13"/>
    </row>
    <row r="10" customFormat="false" ht="15" hidden="false" customHeight="true" outlineLevel="0" collapsed="false">
      <c r="A10" s="35"/>
      <c r="B10" s="35"/>
      <c r="C10" s="20"/>
      <c r="D10" s="35"/>
      <c r="E10" s="13"/>
      <c r="F10" s="20"/>
      <c r="G10" s="20"/>
      <c r="H10" s="20"/>
      <c r="I10" s="35"/>
      <c r="J10" s="35"/>
      <c r="K10" s="35"/>
      <c r="L10" s="20"/>
      <c r="M10" s="20"/>
      <c r="N10" s="20"/>
      <c r="O10" s="20"/>
      <c r="P10" s="36"/>
      <c r="Q10" s="37"/>
      <c r="R10" s="36"/>
      <c r="S10" s="36"/>
      <c r="T10" s="38"/>
      <c r="U10" s="39"/>
      <c r="V10" s="40"/>
      <c r="W10" s="40"/>
      <c r="X10" s="13"/>
    </row>
    <row r="11" customFormat="false" ht="15" hidden="false" customHeight="true" outlineLevel="0" collapsed="false">
      <c r="A11" s="35"/>
      <c r="B11" s="35"/>
      <c r="C11" s="20"/>
      <c r="D11" s="35"/>
      <c r="E11" s="13"/>
      <c r="F11" s="20"/>
      <c r="G11" s="20"/>
      <c r="H11" s="20"/>
      <c r="I11" s="35"/>
      <c r="J11" s="35"/>
      <c r="K11" s="35"/>
      <c r="L11" s="20"/>
      <c r="M11" s="20"/>
      <c r="N11" s="20"/>
      <c r="O11" s="20"/>
      <c r="P11" s="36"/>
      <c r="Q11" s="37"/>
      <c r="R11" s="36"/>
      <c r="S11" s="36"/>
      <c r="T11" s="38"/>
      <c r="U11" s="39"/>
      <c r="V11" s="40"/>
      <c r="W11" s="40"/>
      <c r="X11" s="13"/>
    </row>
    <row r="12" customFormat="false" ht="15" hidden="false" customHeight="true" outlineLevel="0" collapsed="false">
      <c r="A12" s="35"/>
      <c r="B12" s="35"/>
      <c r="C12" s="20"/>
      <c r="D12" s="35"/>
      <c r="E12" s="13"/>
      <c r="F12" s="20"/>
      <c r="G12" s="20"/>
      <c r="H12" s="20"/>
      <c r="I12" s="35"/>
      <c r="J12" s="35"/>
      <c r="K12" s="35"/>
      <c r="L12" s="20"/>
      <c r="M12" s="20"/>
      <c r="N12" s="20"/>
      <c r="O12" s="20"/>
      <c r="P12" s="36"/>
      <c r="Q12" s="37"/>
      <c r="R12" s="36"/>
      <c r="S12" s="36"/>
      <c r="T12" s="38"/>
      <c r="U12" s="39"/>
      <c r="V12" s="40"/>
      <c r="W12" s="40"/>
      <c r="X12" s="13"/>
    </row>
    <row r="13" customFormat="false" ht="15" hidden="false" customHeight="true" outlineLevel="0" collapsed="false">
      <c r="A13" s="35"/>
      <c r="B13" s="35"/>
      <c r="C13" s="20"/>
      <c r="D13" s="35"/>
      <c r="E13" s="13"/>
      <c r="F13" s="20"/>
      <c r="G13" s="20"/>
      <c r="H13" s="20"/>
      <c r="I13" s="35"/>
      <c r="J13" s="35"/>
      <c r="K13" s="35"/>
      <c r="L13" s="20"/>
      <c r="M13" s="20"/>
      <c r="N13" s="20"/>
      <c r="O13" s="20"/>
      <c r="P13" s="36"/>
      <c r="Q13" s="37"/>
      <c r="R13" s="36"/>
      <c r="S13" s="36"/>
      <c r="T13" s="38"/>
      <c r="U13" s="39"/>
      <c r="V13" s="40"/>
      <c r="W13" s="40"/>
      <c r="X13" s="13"/>
    </row>
    <row r="14" customFormat="false" ht="15" hidden="false" customHeight="true" outlineLevel="0" collapsed="false">
      <c r="A14" s="35"/>
      <c r="B14" s="35"/>
      <c r="C14" s="20"/>
      <c r="D14" s="35"/>
      <c r="E14" s="13"/>
      <c r="F14" s="20"/>
      <c r="G14" s="20"/>
      <c r="H14" s="20"/>
      <c r="I14" s="35"/>
      <c r="J14" s="35"/>
      <c r="K14" s="35"/>
      <c r="L14" s="20"/>
      <c r="M14" s="20"/>
      <c r="N14" s="20"/>
      <c r="O14" s="20"/>
      <c r="P14" s="36"/>
      <c r="Q14" s="37"/>
      <c r="R14" s="36"/>
      <c r="S14" s="36"/>
      <c r="T14" s="38"/>
      <c r="U14" s="39"/>
      <c r="V14" s="40"/>
      <c r="W14" s="40"/>
      <c r="X14" s="13"/>
    </row>
    <row r="15" customFormat="false" ht="15" hidden="false" customHeight="true" outlineLevel="0" collapsed="false">
      <c r="A15" s="35"/>
      <c r="B15" s="35"/>
      <c r="C15" s="20"/>
      <c r="D15" s="35"/>
      <c r="E15" s="13"/>
      <c r="F15" s="20"/>
      <c r="G15" s="20"/>
      <c r="H15" s="20"/>
      <c r="I15" s="35"/>
      <c r="J15" s="35"/>
      <c r="K15" s="35"/>
      <c r="L15" s="20"/>
      <c r="M15" s="20"/>
      <c r="N15" s="20"/>
      <c r="O15" s="20"/>
      <c r="P15" s="36"/>
      <c r="Q15" s="37"/>
      <c r="R15" s="36"/>
      <c r="S15" s="36"/>
      <c r="T15" s="38"/>
      <c r="U15" s="39"/>
      <c r="V15" s="40"/>
      <c r="W15" s="40"/>
      <c r="X15" s="13"/>
    </row>
    <row r="16" customFormat="false" ht="15" hidden="false" customHeight="true" outlineLevel="0" collapsed="false">
      <c r="A16" s="35"/>
      <c r="B16" s="35"/>
      <c r="C16" s="20"/>
      <c r="D16" s="35"/>
      <c r="E16" s="13"/>
      <c r="F16" s="20"/>
      <c r="G16" s="20"/>
      <c r="H16" s="20"/>
      <c r="I16" s="35"/>
      <c r="J16" s="35"/>
      <c r="K16" s="35"/>
      <c r="L16" s="20"/>
      <c r="M16" s="20"/>
      <c r="N16" s="20"/>
      <c r="O16" s="20"/>
      <c r="P16" s="36"/>
      <c r="Q16" s="37"/>
      <c r="R16" s="36"/>
      <c r="S16" s="36"/>
      <c r="T16" s="38"/>
      <c r="U16" s="39"/>
      <c r="V16" s="40"/>
      <c r="W16" s="40"/>
      <c r="X16" s="13"/>
    </row>
    <row r="17" customFormat="false" ht="15" hidden="false" customHeight="true" outlineLevel="0" collapsed="false">
      <c r="A17" s="35"/>
      <c r="B17" s="35"/>
      <c r="C17" s="20"/>
      <c r="D17" s="35"/>
      <c r="E17" s="13"/>
      <c r="F17" s="20"/>
      <c r="G17" s="20"/>
      <c r="H17" s="20"/>
      <c r="I17" s="35"/>
      <c r="J17" s="35"/>
      <c r="K17" s="35"/>
      <c r="L17" s="20"/>
      <c r="M17" s="20"/>
      <c r="N17" s="20"/>
      <c r="O17" s="20"/>
      <c r="P17" s="36"/>
      <c r="Q17" s="37"/>
      <c r="R17" s="36"/>
      <c r="S17" s="36"/>
      <c r="T17" s="38"/>
      <c r="U17" s="39"/>
      <c r="V17" s="40"/>
      <c r="W17" s="40"/>
      <c r="X17" s="13"/>
    </row>
    <row r="18" customFormat="false" ht="15" hidden="false" customHeight="true" outlineLevel="0" collapsed="false">
      <c r="A18" s="35"/>
      <c r="B18" s="35"/>
      <c r="C18" s="20"/>
      <c r="D18" s="35"/>
      <c r="E18" s="13"/>
      <c r="F18" s="20"/>
      <c r="G18" s="20"/>
      <c r="H18" s="20"/>
      <c r="I18" s="35"/>
      <c r="J18" s="35"/>
      <c r="K18" s="35"/>
      <c r="L18" s="20"/>
      <c r="M18" s="20"/>
      <c r="N18" s="20"/>
      <c r="O18" s="20"/>
      <c r="P18" s="36"/>
      <c r="Q18" s="37"/>
      <c r="R18" s="36"/>
      <c r="S18" s="36"/>
      <c r="T18" s="38"/>
      <c r="U18" s="39"/>
      <c r="V18" s="40"/>
      <c r="W18" s="40"/>
      <c r="X18" s="13"/>
    </row>
    <row r="19" customFormat="false" ht="15" hidden="false" customHeight="true" outlineLevel="0" collapsed="false">
      <c r="A19" s="35"/>
      <c r="B19" s="35"/>
      <c r="C19" s="20"/>
      <c r="D19" s="35"/>
      <c r="E19" s="13"/>
      <c r="F19" s="20"/>
      <c r="G19" s="20"/>
      <c r="H19" s="20"/>
      <c r="I19" s="35"/>
      <c r="J19" s="35"/>
      <c r="K19" s="35"/>
      <c r="L19" s="20"/>
      <c r="M19" s="20"/>
      <c r="N19" s="20"/>
      <c r="O19" s="20"/>
      <c r="P19" s="36"/>
      <c r="Q19" s="37"/>
      <c r="R19" s="36"/>
      <c r="S19" s="36"/>
      <c r="T19" s="38"/>
      <c r="U19" s="39"/>
      <c r="V19" s="40"/>
      <c r="W19" s="40"/>
      <c r="X19" s="13"/>
    </row>
    <row r="20" customFormat="false" ht="15" hidden="false" customHeight="true" outlineLevel="0" collapsed="false">
      <c r="A20" s="35"/>
      <c r="B20" s="35"/>
      <c r="C20" s="20"/>
      <c r="D20" s="35"/>
      <c r="E20" s="13"/>
      <c r="F20" s="20"/>
      <c r="G20" s="20"/>
      <c r="H20" s="20"/>
      <c r="I20" s="35"/>
      <c r="J20" s="35"/>
      <c r="K20" s="35"/>
      <c r="L20" s="20"/>
      <c r="M20" s="20"/>
      <c r="N20" s="20"/>
      <c r="O20" s="20"/>
      <c r="P20" s="36"/>
      <c r="Q20" s="37"/>
      <c r="R20" s="36"/>
      <c r="S20" s="36"/>
      <c r="T20" s="38"/>
      <c r="U20" s="39"/>
      <c r="V20" s="40"/>
      <c r="W20" s="40"/>
      <c r="X20" s="13"/>
    </row>
    <row r="21" customFormat="false" ht="15" hidden="false" customHeight="true" outlineLevel="0" collapsed="false">
      <c r="A21" s="35"/>
      <c r="B21" s="35"/>
      <c r="C21" s="20"/>
      <c r="D21" s="35"/>
      <c r="E21" s="13"/>
      <c r="F21" s="20"/>
      <c r="G21" s="20"/>
      <c r="H21" s="20"/>
      <c r="I21" s="35"/>
      <c r="J21" s="35"/>
      <c r="K21" s="35"/>
      <c r="L21" s="20"/>
      <c r="M21" s="20"/>
      <c r="N21" s="20"/>
      <c r="O21" s="20"/>
      <c r="P21" s="36"/>
      <c r="Q21" s="37"/>
      <c r="R21" s="36"/>
      <c r="S21" s="36"/>
      <c r="T21" s="38"/>
      <c r="U21" s="39"/>
      <c r="V21" s="40"/>
      <c r="W21" s="40"/>
      <c r="X21" s="13"/>
    </row>
    <row r="22" customFormat="false" ht="15" hidden="false" customHeight="true" outlineLevel="0" collapsed="false">
      <c r="A22" s="35"/>
      <c r="B22" s="35"/>
      <c r="C22" s="20"/>
      <c r="D22" s="35"/>
      <c r="E22" s="13"/>
      <c r="F22" s="20"/>
      <c r="G22" s="20"/>
      <c r="H22" s="20"/>
      <c r="I22" s="35"/>
      <c r="J22" s="35"/>
      <c r="K22" s="35"/>
      <c r="L22" s="20"/>
      <c r="M22" s="20"/>
      <c r="N22" s="20"/>
      <c r="O22" s="20"/>
      <c r="P22" s="36"/>
      <c r="Q22" s="37"/>
      <c r="R22" s="36"/>
      <c r="S22" s="36"/>
      <c r="T22" s="38"/>
      <c r="U22" s="39"/>
      <c r="V22" s="40"/>
      <c r="W22" s="40"/>
      <c r="X22" s="13"/>
    </row>
    <row r="23" customFormat="false" ht="15" hidden="false" customHeight="true" outlineLevel="0" collapsed="false">
      <c r="A23" s="35"/>
      <c r="B23" s="35"/>
      <c r="C23" s="20"/>
      <c r="D23" s="35"/>
      <c r="E23" s="13"/>
      <c r="F23" s="20"/>
      <c r="G23" s="20"/>
      <c r="H23" s="20"/>
      <c r="I23" s="35"/>
      <c r="J23" s="35"/>
      <c r="K23" s="35"/>
      <c r="L23" s="20"/>
      <c r="M23" s="20"/>
      <c r="N23" s="20"/>
      <c r="O23" s="20"/>
      <c r="P23" s="36"/>
      <c r="Q23" s="37"/>
      <c r="R23" s="36"/>
      <c r="S23" s="36"/>
      <c r="T23" s="38"/>
      <c r="U23" s="39"/>
      <c r="V23" s="40"/>
      <c r="W23" s="40"/>
      <c r="X23" s="13"/>
    </row>
    <row r="24" customFormat="false" ht="15" hidden="false" customHeight="true" outlineLevel="0" collapsed="false">
      <c r="A24" s="35"/>
      <c r="B24" s="35"/>
      <c r="C24" s="20"/>
      <c r="D24" s="35"/>
      <c r="E24" s="13"/>
      <c r="F24" s="20"/>
      <c r="G24" s="20"/>
      <c r="H24" s="20"/>
      <c r="I24" s="35"/>
      <c r="J24" s="35"/>
      <c r="K24" s="35"/>
      <c r="L24" s="20"/>
      <c r="M24" s="20"/>
      <c r="N24" s="20"/>
      <c r="O24" s="20"/>
      <c r="P24" s="36"/>
      <c r="Q24" s="37"/>
      <c r="R24" s="36"/>
      <c r="S24" s="36"/>
      <c r="T24" s="38"/>
      <c r="U24" s="39"/>
      <c r="V24" s="40"/>
      <c r="W24" s="40"/>
      <c r="X24" s="13"/>
    </row>
  </sheetData>
  <mergeCells count="1">
    <mergeCell ref="A1:H1"/>
  </mergeCells>
  <dataValidations count="3">
    <dataValidation allowBlank="true" errorStyle="stop" operator="between" showDropDown="false" showErrorMessage="false" showInputMessage="false" sqref="L4:O24" type="list">
      <formula1>"Y"</formula1>
      <formula2>0</formula2>
    </dataValidation>
    <dataValidation allowBlank="true" errorStyle="stop" operator="between" showDropDown="false" showErrorMessage="false" showInputMessage="false" sqref="J4:J24" type="list">
      <formula1>"VCP / 3C,Cup-with-handle,Cheat,Livermore PP,Power Play,Primary base"</formula1>
      <formula2>0</formula2>
    </dataValidation>
    <dataValidation allowBlank="true" errorStyle="stop" operator="between" showDropDown="false" showErrorMessage="false" showInputMessage="false" sqref="F4:F24" type="list">
      <formula1>"1 - Base,2 - Advance,3 - Top,4 - Decline"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7" min="6" style="1" width="9"/>
    <col collapsed="false" customWidth="true" hidden="false" outlineLevel="0" max="8" min="8" style="1" width="10"/>
    <col collapsed="false" customWidth="true" hidden="false" outlineLevel="0" max="10" min="9" style="1" width="11"/>
    <col collapsed="false" customWidth="true" hidden="false" outlineLevel="0" max="11" min="11" style="1" width="9"/>
    <col collapsed="false" customWidth="true" hidden="false" outlineLevel="0" max="12" min="12" style="1" width="15"/>
    <col collapsed="false" customWidth="true" hidden="false" outlineLevel="0" max="13" min="13" style="1" width="12"/>
    <col collapsed="false" customWidth="true" hidden="false" outlineLevel="0" max="14" min="14" style="1" width="26"/>
  </cols>
  <sheetData>
    <row r="1" customFormat="false" ht="17.25" hidden="false" customHeight="true" outlineLevel="0" collapsed="false">
      <c r="A1" s="25" t="s">
        <v>138</v>
      </c>
      <c r="B1" s="25"/>
      <c r="C1" s="25"/>
      <c r="D1" s="25"/>
      <c r="E1" s="25"/>
      <c r="F1" s="25"/>
      <c r="G1" s="25"/>
      <c r="H1" s="25"/>
    </row>
    <row r="3" customFormat="false" ht="27.75" hidden="false" customHeight="true" outlineLevel="0" collapsed="false">
      <c r="A3" s="43" t="s">
        <v>69</v>
      </c>
      <c r="B3" s="43" t="s">
        <v>70</v>
      </c>
      <c r="C3" s="43" t="s">
        <v>38</v>
      </c>
      <c r="D3" s="43" t="s">
        <v>139</v>
      </c>
      <c r="E3" s="43" t="s">
        <v>84</v>
      </c>
      <c r="F3" s="43" t="s">
        <v>87</v>
      </c>
      <c r="G3" s="43" t="s">
        <v>85</v>
      </c>
      <c r="H3" s="43" t="s">
        <v>140</v>
      </c>
      <c r="I3" s="43" t="s">
        <v>141</v>
      </c>
      <c r="J3" s="43" t="s">
        <v>142</v>
      </c>
      <c r="K3" s="43" t="s">
        <v>143</v>
      </c>
      <c r="L3" s="43" t="s">
        <v>144</v>
      </c>
      <c r="M3" s="43" t="s">
        <v>145</v>
      </c>
      <c r="N3" s="43" t="s">
        <v>90</v>
      </c>
    </row>
    <row r="4" customFormat="false" ht="21.75" hidden="false" customHeight="true" outlineLevel="0" collapsed="false">
      <c r="A4" s="35" t="s">
        <v>146</v>
      </c>
      <c r="B4" s="35" t="s">
        <v>147</v>
      </c>
      <c r="C4" s="35" t="s">
        <v>148</v>
      </c>
      <c r="D4" s="40" t="n">
        <v>41081</v>
      </c>
      <c r="E4" s="36" t="n">
        <v>8.1</v>
      </c>
      <c r="F4" s="44" t="n">
        <v>600</v>
      </c>
      <c r="G4" s="36" t="n">
        <v>7.45</v>
      </c>
      <c r="H4" s="36" t="n">
        <v>9.2</v>
      </c>
      <c r="I4" s="45" t="n">
        <f aca="false">IF(OR(E4="",G4="",F4=""),"",(E4-G4)*F4)</f>
        <v>390</v>
      </c>
      <c r="J4" s="46" t="n">
        <f aca="false">IF(OR(H4="",E4="",F4=""),"",(H4-E4)*F4)</f>
        <v>660</v>
      </c>
      <c r="K4" s="47" t="n">
        <f aca="false">IF(OR(H4="",E4="",G4="",E4=G4),"",(H4-E4)/(E4-G4))</f>
        <v>1.69230769230769</v>
      </c>
      <c r="L4" s="35" t="s">
        <v>149</v>
      </c>
      <c r="M4" s="35" t="s">
        <v>150</v>
      </c>
      <c r="N4" s="48" t="s">
        <v>151</v>
      </c>
    </row>
    <row r="5" customFormat="false" ht="15" hidden="false" customHeight="true" outlineLevel="0" collapsed="false">
      <c r="A5" s="35"/>
      <c r="B5" s="35"/>
      <c r="C5" s="35"/>
      <c r="D5" s="40"/>
      <c r="E5" s="36"/>
      <c r="F5" s="44"/>
      <c r="G5" s="36"/>
      <c r="H5" s="36"/>
      <c r="I5" s="45" t="str">
        <f aca="false">IF(OR(E5="",G5="",F5=""),"",(E5-G5)*F5)</f>
        <v/>
      </c>
      <c r="J5" s="46" t="str">
        <f aca="false">IF(OR(H5="",E5="",F5=""),"",(H5-E5)*F5)</f>
        <v/>
      </c>
      <c r="K5" s="47" t="str">
        <f aca="false">IF(OR(H5="",E5="",G5="",E5=G5),"",(H5-E5)/(E5-G5))</f>
        <v/>
      </c>
      <c r="L5" s="35"/>
      <c r="M5" s="35"/>
      <c r="N5" s="13"/>
    </row>
    <row r="6" customFormat="false" ht="15" hidden="false" customHeight="true" outlineLevel="0" collapsed="false">
      <c r="A6" s="35"/>
      <c r="B6" s="35"/>
      <c r="C6" s="35"/>
      <c r="D6" s="40"/>
      <c r="E6" s="36"/>
      <c r="F6" s="44"/>
      <c r="G6" s="36"/>
      <c r="H6" s="36"/>
      <c r="I6" s="45" t="str">
        <f aca="false">IF(OR(E6="",G6="",F6=""),"",(E6-G6)*F6)</f>
        <v/>
      </c>
      <c r="J6" s="46" t="str">
        <f aca="false">IF(OR(H6="",E6="",F6=""),"",(H6-E6)*F6)</f>
        <v/>
      </c>
      <c r="K6" s="47" t="str">
        <f aca="false">IF(OR(H6="",E6="",G6="",E6=G6),"",(H6-E6)/(E6-G6))</f>
        <v/>
      </c>
      <c r="L6" s="35"/>
      <c r="M6" s="35"/>
      <c r="N6" s="13"/>
    </row>
    <row r="7" customFormat="false" ht="15" hidden="false" customHeight="true" outlineLevel="0" collapsed="false">
      <c r="A7" s="35"/>
      <c r="B7" s="35"/>
      <c r="C7" s="35"/>
      <c r="D7" s="40"/>
      <c r="E7" s="36"/>
      <c r="F7" s="44"/>
      <c r="G7" s="36"/>
      <c r="H7" s="36"/>
      <c r="I7" s="45" t="str">
        <f aca="false">IF(OR(E7="",G7="",F7=""),"",(E7-G7)*F7)</f>
        <v/>
      </c>
      <c r="J7" s="46" t="str">
        <f aca="false">IF(OR(H7="",E7="",F7=""),"",(H7-E7)*F7)</f>
        <v/>
      </c>
      <c r="K7" s="47" t="str">
        <f aca="false">IF(OR(H7="",E7="",G7="",E7=G7),"",(H7-E7)/(E7-G7))</f>
        <v/>
      </c>
      <c r="L7" s="35"/>
      <c r="M7" s="35"/>
      <c r="N7" s="13"/>
    </row>
    <row r="8" customFormat="false" ht="15" hidden="false" customHeight="true" outlineLevel="0" collapsed="false">
      <c r="A8" s="35"/>
      <c r="B8" s="35"/>
      <c r="C8" s="35"/>
      <c r="D8" s="40"/>
      <c r="E8" s="36"/>
      <c r="F8" s="44"/>
      <c r="G8" s="36"/>
      <c r="H8" s="36"/>
      <c r="I8" s="45" t="str">
        <f aca="false">IF(OR(E8="",G8="",F8=""),"",(E8-G8)*F8)</f>
        <v/>
      </c>
      <c r="J8" s="46" t="str">
        <f aca="false">IF(OR(H8="",E8="",F8=""),"",(H8-E8)*F8)</f>
        <v/>
      </c>
      <c r="K8" s="47" t="str">
        <f aca="false">IF(OR(H8="",E8="",G8="",E8=G8),"",(H8-E8)/(E8-G8))</f>
        <v/>
      </c>
      <c r="L8" s="35"/>
      <c r="M8" s="35"/>
      <c r="N8" s="13"/>
    </row>
    <row r="9" customFormat="false" ht="15" hidden="false" customHeight="true" outlineLevel="0" collapsed="false">
      <c r="A9" s="35"/>
      <c r="B9" s="35"/>
      <c r="C9" s="35"/>
      <c r="D9" s="40"/>
      <c r="E9" s="36"/>
      <c r="F9" s="44"/>
      <c r="G9" s="36"/>
      <c r="H9" s="36"/>
      <c r="I9" s="45" t="str">
        <f aca="false">IF(OR(E9="",G9="",F9=""),"",(E9-G9)*F9)</f>
        <v/>
      </c>
      <c r="J9" s="46" t="str">
        <f aca="false">IF(OR(H9="",E9="",F9=""),"",(H9-E9)*F9)</f>
        <v/>
      </c>
      <c r="K9" s="47" t="str">
        <f aca="false">IF(OR(H9="",E9="",G9="",E9=G9),"",(H9-E9)/(E9-G9))</f>
        <v/>
      </c>
      <c r="L9" s="35"/>
      <c r="M9" s="35"/>
      <c r="N9" s="13"/>
    </row>
    <row r="10" customFormat="false" ht="15" hidden="false" customHeight="true" outlineLevel="0" collapsed="false">
      <c r="A10" s="35"/>
      <c r="B10" s="35"/>
      <c r="C10" s="35"/>
      <c r="D10" s="40"/>
      <c r="E10" s="36"/>
      <c r="F10" s="44"/>
      <c r="G10" s="36"/>
      <c r="H10" s="36"/>
      <c r="I10" s="45" t="str">
        <f aca="false">IF(OR(E10="",G10="",F10=""),"",(E10-G10)*F10)</f>
        <v/>
      </c>
      <c r="J10" s="46" t="str">
        <f aca="false">IF(OR(H10="",E10="",F10=""),"",(H10-E10)*F10)</f>
        <v/>
      </c>
      <c r="K10" s="47" t="str">
        <f aca="false">IF(OR(H10="",E10="",G10="",E10=G10),"",(H10-E10)/(E10-G10))</f>
        <v/>
      </c>
      <c r="L10" s="35"/>
      <c r="M10" s="35"/>
      <c r="N10" s="13"/>
    </row>
    <row r="11" customFormat="false" ht="15" hidden="false" customHeight="true" outlineLevel="0" collapsed="false">
      <c r="A11" s="35"/>
      <c r="B11" s="35"/>
      <c r="C11" s="35"/>
      <c r="D11" s="40"/>
      <c r="E11" s="36"/>
      <c r="F11" s="44"/>
      <c r="G11" s="36"/>
      <c r="H11" s="36"/>
      <c r="I11" s="45" t="str">
        <f aca="false">IF(OR(E11="",G11="",F11=""),"",(E11-G11)*F11)</f>
        <v/>
      </c>
      <c r="J11" s="46" t="str">
        <f aca="false">IF(OR(H11="",E11="",F11=""),"",(H11-E11)*F11)</f>
        <v/>
      </c>
      <c r="K11" s="47" t="str">
        <f aca="false">IF(OR(H11="",E11="",G11="",E11=G11),"",(H11-E11)/(E11-G11))</f>
        <v/>
      </c>
      <c r="L11" s="35"/>
      <c r="M11" s="35"/>
      <c r="N11" s="13"/>
    </row>
    <row r="12" customFormat="false" ht="15" hidden="false" customHeight="true" outlineLevel="0" collapsed="false">
      <c r="A12" s="35"/>
      <c r="B12" s="35"/>
      <c r="C12" s="35"/>
      <c r="D12" s="40"/>
      <c r="E12" s="36"/>
      <c r="F12" s="44"/>
      <c r="G12" s="36"/>
      <c r="H12" s="36"/>
      <c r="I12" s="45" t="str">
        <f aca="false">IF(OR(E12="",G12="",F12=""),"",(E12-G12)*F12)</f>
        <v/>
      </c>
      <c r="J12" s="46" t="str">
        <f aca="false">IF(OR(H12="",E12="",F12=""),"",(H12-E12)*F12)</f>
        <v/>
      </c>
      <c r="K12" s="47" t="str">
        <f aca="false">IF(OR(H12="",E12="",G12="",E12=G12),"",(H12-E12)/(E12-G12))</f>
        <v/>
      </c>
      <c r="L12" s="35"/>
      <c r="M12" s="35"/>
      <c r="N12" s="13"/>
    </row>
    <row r="13" customFormat="false" ht="15" hidden="false" customHeight="true" outlineLevel="0" collapsed="false">
      <c r="A13" s="35"/>
      <c r="B13" s="35"/>
      <c r="C13" s="35"/>
      <c r="D13" s="40"/>
      <c r="E13" s="36"/>
      <c r="F13" s="44"/>
      <c r="G13" s="36"/>
      <c r="H13" s="36"/>
      <c r="I13" s="45" t="str">
        <f aca="false">IF(OR(E13="",G13="",F13=""),"",(E13-G13)*F13)</f>
        <v/>
      </c>
      <c r="J13" s="46" t="str">
        <f aca="false">IF(OR(H13="",E13="",F13=""),"",(H13-E13)*F13)</f>
        <v/>
      </c>
      <c r="K13" s="47" t="str">
        <f aca="false">IF(OR(H13="",E13="",G13="",E13=G13),"",(H13-E13)/(E13-G13))</f>
        <v/>
      </c>
      <c r="L13" s="35"/>
      <c r="M13" s="35"/>
      <c r="N13" s="13"/>
    </row>
    <row r="14" customFormat="false" ht="15" hidden="false" customHeight="true" outlineLevel="0" collapsed="false">
      <c r="A14" s="35"/>
      <c r="B14" s="35"/>
      <c r="C14" s="35"/>
      <c r="D14" s="40"/>
      <c r="E14" s="36"/>
      <c r="F14" s="44"/>
      <c r="G14" s="36"/>
      <c r="H14" s="36"/>
      <c r="I14" s="45" t="str">
        <f aca="false">IF(OR(E14="",G14="",F14=""),"",(E14-G14)*F14)</f>
        <v/>
      </c>
      <c r="J14" s="46" t="str">
        <f aca="false">IF(OR(H14="",E14="",F14=""),"",(H14-E14)*F14)</f>
        <v/>
      </c>
      <c r="K14" s="47" t="str">
        <f aca="false">IF(OR(H14="",E14="",G14="",E14=G14),"",(H14-E14)/(E14-G14))</f>
        <v/>
      </c>
      <c r="L14" s="35"/>
      <c r="M14" s="35"/>
      <c r="N14" s="13"/>
    </row>
    <row r="15" customFormat="false" ht="15" hidden="false" customHeight="true" outlineLevel="0" collapsed="false">
      <c r="A15" s="35"/>
      <c r="B15" s="35"/>
      <c r="C15" s="35"/>
      <c r="D15" s="40"/>
      <c r="E15" s="36"/>
      <c r="F15" s="44"/>
      <c r="G15" s="36"/>
      <c r="H15" s="36"/>
      <c r="I15" s="45" t="str">
        <f aca="false">IF(OR(E15="",G15="",F15=""),"",(E15-G15)*F15)</f>
        <v/>
      </c>
      <c r="J15" s="46" t="str">
        <f aca="false">IF(OR(H15="",E15="",F15=""),"",(H15-E15)*F15)</f>
        <v/>
      </c>
      <c r="K15" s="47" t="str">
        <f aca="false">IF(OR(H15="",E15="",G15="",E15=G15),"",(H15-E15)/(E15-G15))</f>
        <v/>
      </c>
      <c r="L15" s="35"/>
      <c r="M15" s="35"/>
      <c r="N15" s="13"/>
    </row>
    <row r="16" customFormat="false" ht="15" hidden="false" customHeight="true" outlineLevel="0" collapsed="false">
      <c r="A16" s="35"/>
      <c r="B16" s="35"/>
      <c r="C16" s="35"/>
      <c r="D16" s="40"/>
      <c r="E16" s="36"/>
      <c r="F16" s="44"/>
      <c r="G16" s="36"/>
      <c r="H16" s="36"/>
      <c r="I16" s="45" t="str">
        <f aca="false">IF(OR(E16="",G16="",F16=""),"",(E16-G16)*F16)</f>
        <v/>
      </c>
      <c r="J16" s="46" t="str">
        <f aca="false">IF(OR(H16="",E16="",F16=""),"",(H16-E16)*F16)</f>
        <v/>
      </c>
      <c r="K16" s="47" t="str">
        <f aca="false">IF(OR(H16="",E16="",G16="",E16=G16),"",(H16-E16)/(E16-G16))</f>
        <v/>
      </c>
      <c r="L16" s="35"/>
      <c r="M16" s="35"/>
      <c r="N16" s="13"/>
    </row>
    <row r="17" customFormat="false" ht="15" hidden="false" customHeight="true" outlineLevel="0" collapsed="false">
      <c r="A17" s="35"/>
      <c r="B17" s="35"/>
      <c r="C17" s="35"/>
      <c r="D17" s="40"/>
      <c r="E17" s="36"/>
      <c r="F17" s="44"/>
      <c r="G17" s="36"/>
      <c r="H17" s="36"/>
      <c r="I17" s="45" t="str">
        <f aca="false">IF(OR(E17="",G17="",F17=""),"",(E17-G17)*F17)</f>
        <v/>
      </c>
      <c r="J17" s="46" t="str">
        <f aca="false">IF(OR(H17="",E17="",F17=""),"",(H17-E17)*F17)</f>
        <v/>
      </c>
      <c r="K17" s="47" t="str">
        <f aca="false">IF(OR(H17="",E17="",G17="",E17=G17),"",(H17-E17)/(E17-G17))</f>
        <v/>
      </c>
      <c r="L17" s="35"/>
      <c r="M17" s="35"/>
      <c r="N17" s="13"/>
    </row>
    <row r="18" customFormat="false" ht="15" hidden="false" customHeight="true" outlineLevel="0" collapsed="false">
      <c r="A18" s="35"/>
      <c r="B18" s="35"/>
      <c r="C18" s="35"/>
      <c r="D18" s="40"/>
      <c r="E18" s="36"/>
      <c r="F18" s="44"/>
      <c r="G18" s="36"/>
      <c r="H18" s="36"/>
      <c r="I18" s="45" t="str">
        <f aca="false">IF(OR(E18="",G18="",F18=""),"",(E18-G18)*F18)</f>
        <v/>
      </c>
      <c r="J18" s="46" t="str">
        <f aca="false">IF(OR(H18="",E18="",F18=""),"",(H18-E18)*F18)</f>
        <v/>
      </c>
      <c r="K18" s="47" t="str">
        <f aca="false">IF(OR(H18="",E18="",G18="",E18=G18),"",(H18-E18)/(E18-G18))</f>
        <v/>
      </c>
      <c r="L18" s="35"/>
      <c r="M18" s="35"/>
      <c r="N18" s="13"/>
    </row>
    <row r="19" customFormat="false" ht="15" hidden="false" customHeight="true" outlineLevel="0" collapsed="false">
      <c r="A19" s="35"/>
      <c r="B19" s="35"/>
      <c r="C19" s="35"/>
      <c r="D19" s="40"/>
      <c r="E19" s="36"/>
      <c r="F19" s="44"/>
      <c r="G19" s="36"/>
      <c r="H19" s="36"/>
      <c r="I19" s="45" t="str">
        <f aca="false">IF(OR(E19="",G19="",F19=""),"",(E19-G19)*F19)</f>
        <v/>
      </c>
      <c r="J19" s="46" t="str">
        <f aca="false">IF(OR(H19="",E19="",F19=""),"",(H19-E19)*F19)</f>
        <v/>
      </c>
      <c r="K19" s="47" t="str">
        <f aca="false">IF(OR(H19="",E19="",G19="",E19=G19),"",(H19-E19)/(E19-G19))</f>
        <v/>
      </c>
      <c r="L19" s="35"/>
      <c r="M19" s="35"/>
      <c r="N19" s="13"/>
    </row>
  </sheetData>
  <mergeCells count="1">
    <mergeCell ref="A1:H1"/>
  </mergeCells>
  <dataValidations count="2">
    <dataValidation allowBlank="true" errorStyle="stop" operator="between" showDropDown="false" showErrorMessage="false" showInputMessage="false" sqref="L4:L19" type="list">
      <formula1>"Follow-through OK,Squat watch,Trailing 50-day,Trailing 20-day"</formula1>
      <formula2>0</formula2>
    </dataValidation>
    <dataValidation allowBlank="true" errorStyle="stop" operator="between" showDropDown="false" showErrorMessage="false" showInputMessage="false" sqref="M4:M19" type="list">
      <formula1>"50-day,20-day,Pivot/base 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9"/>
    <col collapsed="false" customWidth="true" hidden="false" outlineLevel="0" max="6" min="6" style="1" width="22"/>
    <col collapsed="false" customWidth="true" hidden="false" outlineLevel="0" max="7" min="7" style="1" width="10"/>
    <col collapsed="false" customWidth="true" hidden="false" outlineLevel="0" max="8" min="8" style="1" width="16"/>
    <col collapsed="false" customWidth="true" hidden="false" outlineLevel="0" max="9" min="9" style="1" width="11"/>
    <col collapsed="false" customWidth="true" hidden="false" outlineLevel="0" max="10" min="10" style="1" width="28"/>
  </cols>
  <sheetData>
    <row r="1" customFormat="false" ht="17.25" hidden="false" customHeight="true" outlineLevel="0" collapsed="false">
      <c r="A1" s="25" t="s">
        <v>152</v>
      </c>
      <c r="B1" s="25"/>
      <c r="C1" s="25"/>
      <c r="D1" s="25"/>
      <c r="E1" s="25"/>
      <c r="F1" s="25"/>
      <c r="G1" s="25"/>
      <c r="H1" s="25"/>
    </row>
    <row r="3" customFormat="false" ht="27.75" hidden="false" customHeight="true" outlineLevel="0" collapsed="false">
      <c r="A3" s="49" t="s">
        <v>69</v>
      </c>
      <c r="B3" s="49" t="s">
        <v>70</v>
      </c>
      <c r="C3" s="49" t="s">
        <v>153</v>
      </c>
      <c r="D3" s="49" t="s">
        <v>154</v>
      </c>
      <c r="E3" s="49" t="s">
        <v>155</v>
      </c>
      <c r="F3" s="49" t="s">
        <v>156</v>
      </c>
      <c r="G3" s="49" t="s">
        <v>157</v>
      </c>
      <c r="H3" s="49" t="s">
        <v>158</v>
      </c>
      <c r="I3" s="49" t="s">
        <v>159</v>
      </c>
      <c r="J3" s="49" t="s">
        <v>90</v>
      </c>
    </row>
    <row r="4" customFormat="false" ht="32.25" hidden="false" customHeight="true" outlineLevel="0" collapsed="false">
      <c r="A4" s="35" t="s">
        <v>160</v>
      </c>
      <c r="B4" s="35" t="s">
        <v>161</v>
      </c>
      <c r="C4" s="35" t="s">
        <v>42</v>
      </c>
      <c r="D4" s="50" t="n">
        <v>46154</v>
      </c>
      <c r="E4" s="51" t="n">
        <v>-1</v>
      </c>
      <c r="F4" s="35" t="s">
        <v>162</v>
      </c>
      <c r="G4" s="52" t="n">
        <f aca="true">IF(D4="","",TODAY()-D4)</f>
        <v>13</v>
      </c>
      <c r="H4" s="35" t="s">
        <v>163</v>
      </c>
      <c r="I4" s="36"/>
      <c r="J4" s="48" t="s">
        <v>164</v>
      </c>
    </row>
    <row r="5" customFormat="false" ht="15" hidden="false" customHeight="true" outlineLevel="0" collapsed="false">
      <c r="A5" s="35"/>
      <c r="B5" s="35"/>
      <c r="C5" s="35"/>
      <c r="D5" s="50"/>
      <c r="E5" s="51"/>
      <c r="F5" s="35"/>
      <c r="G5" s="52" t="str">
        <f aca="true">IF(D5="","",TODAY()-D5)</f>
        <v/>
      </c>
      <c r="H5" s="35"/>
      <c r="I5" s="36"/>
      <c r="J5" s="13"/>
    </row>
    <row r="6" customFormat="false" ht="15" hidden="false" customHeight="true" outlineLevel="0" collapsed="false">
      <c r="A6" s="35"/>
      <c r="B6" s="35"/>
      <c r="C6" s="35"/>
      <c r="D6" s="50"/>
      <c r="E6" s="51"/>
      <c r="F6" s="35"/>
      <c r="G6" s="52" t="str">
        <f aca="true">IF(D6="","",TODAY()-D6)</f>
        <v/>
      </c>
      <c r="H6" s="35"/>
      <c r="I6" s="36"/>
      <c r="J6" s="13"/>
    </row>
    <row r="7" customFormat="false" ht="15" hidden="false" customHeight="true" outlineLevel="0" collapsed="false">
      <c r="A7" s="35"/>
      <c r="B7" s="35"/>
      <c r="C7" s="35"/>
      <c r="D7" s="50"/>
      <c r="E7" s="51"/>
      <c r="F7" s="35"/>
      <c r="G7" s="52" t="str">
        <f aca="true">IF(D7="","",TODAY()-D7)</f>
        <v/>
      </c>
      <c r="H7" s="35"/>
      <c r="I7" s="36"/>
      <c r="J7" s="13"/>
    </row>
    <row r="8" customFormat="false" ht="15" hidden="false" customHeight="true" outlineLevel="0" collapsed="false">
      <c r="A8" s="35"/>
      <c r="B8" s="35"/>
      <c r="C8" s="35"/>
      <c r="D8" s="50"/>
      <c r="E8" s="51"/>
      <c r="F8" s="35"/>
      <c r="G8" s="52" t="str">
        <f aca="true">IF(D8="","",TODAY()-D8)</f>
        <v/>
      </c>
      <c r="H8" s="35"/>
      <c r="I8" s="36"/>
      <c r="J8" s="13"/>
    </row>
    <row r="9" customFormat="false" ht="15" hidden="false" customHeight="true" outlineLevel="0" collapsed="false">
      <c r="A9" s="35"/>
      <c r="B9" s="35"/>
      <c r="C9" s="35"/>
      <c r="D9" s="50"/>
      <c r="E9" s="51"/>
      <c r="F9" s="35"/>
      <c r="G9" s="52" t="str">
        <f aca="true">IF(D9="","",TODAY()-D9)</f>
        <v/>
      </c>
      <c r="H9" s="35"/>
      <c r="I9" s="36"/>
      <c r="J9" s="13"/>
    </row>
    <row r="10" customFormat="false" ht="15" hidden="false" customHeight="true" outlineLevel="0" collapsed="false">
      <c r="A10" s="35"/>
      <c r="B10" s="35"/>
      <c r="C10" s="35"/>
      <c r="D10" s="50"/>
      <c r="E10" s="51"/>
      <c r="F10" s="35"/>
      <c r="G10" s="52" t="str">
        <f aca="true">IF(D10="","",TODAY()-D10)</f>
        <v/>
      </c>
      <c r="H10" s="35"/>
      <c r="I10" s="36"/>
      <c r="J10" s="13"/>
    </row>
    <row r="11" customFormat="false" ht="15" hidden="false" customHeight="true" outlineLevel="0" collapsed="false">
      <c r="A11" s="35"/>
      <c r="B11" s="35"/>
      <c r="C11" s="35"/>
      <c r="D11" s="50"/>
      <c r="E11" s="51"/>
      <c r="F11" s="35"/>
      <c r="G11" s="52" t="str">
        <f aca="true">IF(D11="","",TODAY()-D11)</f>
        <v/>
      </c>
      <c r="H11" s="35"/>
      <c r="I11" s="36"/>
      <c r="J11" s="13"/>
    </row>
    <row r="12" customFormat="false" ht="15" hidden="false" customHeight="true" outlineLevel="0" collapsed="false">
      <c r="A12" s="35"/>
      <c r="B12" s="35"/>
      <c r="C12" s="35"/>
      <c r="D12" s="50"/>
      <c r="E12" s="51"/>
      <c r="F12" s="35"/>
      <c r="G12" s="52" t="str">
        <f aca="true">IF(D12="","",TODAY()-D12)</f>
        <v/>
      </c>
      <c r="H12" s="35"/>
      <c r="I12" s="36"/>
      <c r="J12" s="13"/>
    </row>
    <row r="13" customFormat="false" ht="15" hidden="false" customHeight="true" outlineLevel="0" collapsed="false">
      <c r="A13" s="35"/>
      <c r="B13" s="35"/>
      <c r="C13" s="35"/>
      <c r="D13" s="50"/>
      <c r="E13" s="51"/>
      <c r="F13" s="35"/>
      <c r="G13" s="52" t="str">
        <f aca="true">IF(D13="","",TODAY()-D13)</f>
        <v/>
      </c>
      <c r="H13" s="35"/>
      <c r="I13" s="36"/>
      <c r="J13" s="13"/>
    </row>
    <row r="14" customFormat="false" ht="15" hidden="false" customHeight="true" outlineLevel="0" collapsed="false">
      <c r="A14" s="35"/>
      <c r="B14" s="35"/>
      <c r="C14" s="35"/>
      <c r="D14" s="50"/>
      <c r="E14" s="51"/>
      <c r="F14" s="35"/>
      <c r="G14" s="52" t="str">
        <f aca="true">IF(D14="","",TODAY()-D14)</f>
        <v/>
      </c>
      <c r="H14" s="35"/>
      <c r="I14" s="36"/>
      <c r="J14" s="13"/>
    </row>
    <row r="15" customFormat="false" ht="15" hidden="false" customHeight="true" outlineLevel="0" collapsed="false">
      <c r="A15" s="35"/>
      <c r="B15" s="35"/>
      <c r="C15" s="35"/>
      <c r="D15" s="50"/>
      <c r="E15" s="51"/>
      <c r="F15" s="35"/>
      <c r="G15" s="52" t="str">
        <f aca="true">IF(D15="","",TODAY()-D15)</f>
        <v/>
      </c>
      <c r="H15" s="35"/>
      <c r="I15" s="36"/>
      <c r="J15" s="13"/>
    </row>
    <row r="16" customFormat="false" ht="15" hidden="false" customHeight="true" outlineLevel="0" collapsed="false">
      <c r="A16" s="35"/>
      <c r="B16" s="35"/>
      <c r="C16" s="35"/>
      <c r="D16" s="50"/>
      <c r="E16" s="51"/>
      <c r="F16" s="35"/>
      <c r="G16" s="52" t="str">
        <f aca="true">IF(D16="","",TODAY()-D16)</f>
        <v/>
      </c>
      <c r="H16" s="35"/>
      <c r="I16" s="36"/>
      <c r="J16" s="13"/>
    </row>
    <row r="17" customFormat="false" ht="15" hidden="false" customHeight="true" outlineLevel="0" collapsed="false">
      <c r="A17" s="35"/>
      <c r="B17" s="35"/>
      <c r="C17" s="35"/>
      <c r="D17" s="50"/>
      <c r="E17" s="51"/>
      <c r="F17" s="35"/>
      <c r="G17" s="52" t="str">
        <f aca="true">IF(D17="","",TODAY()-D17)</f>
        <v/>
      </c>
      <c r="H17" s="35"/>
      <c r="I17" s="36"/>
      <c r="J17" s="13"/>
    </row>
    <row r="18" customFormat="false" ht="15" hidden="false" customHeight="true" outlineLevel="0" collapsed="false">
      <c r="A18" s="35"/>
      <c r="B18" s="35"/>
      <c r="C18" s="35"/>
      <c r="D18" s="50"/>
      <c r="E18" s="51"/>
      <c r="F18" s="35"/>
      <c r="G18" s="52" t="str">
        <f aca="true">IF(D18="","",TODAY()-D18)</f>
        <v/>
      </c>
      <c r="H18" s="35"/>
      <c r="I18" s="36"/>
      <c r="J18" s="13"/>
    </row>
    <row r="19" customFormat="false" ht="15" hidden="false" customHeight="true" outlineLevel="0" collapsed="false">
      <c r="A19" s="35"/>
      <c r="B19" s="35"/>
      <c r="C19" s="35"/>
      <c r="D19" s="50"/>
      <c r="E19" s="51"/>
      <c r="F19" s="35"/>
      <c r="G19" s="52" t="str">
        <f aca="true">IF(D19="","",TODAY()-D19)</f>
        <v/>
      </c>
      <c r="H19" s="35"/>
      <c r="I19" s="36"/>
      <c r="J19" s="13"/>
    </row>
  </sheetData>
  <mergeCells count="1">
    <mergeCell ref="A1:H1"/>
  </mergeCells>
  <dataValidations count="2">
    <dataValidation allowBlank="true" errorStyle="stop" operator="between" showDropDown="false" showErrorMessage="false" showInputMessage="false" sqref="F4:F19" type="list">
      <formula1>"Pivot failure reset (days),Base failure (new base)"</formula1>
      <formula2>0</formula2>
    </dataValidation>
    <dataValidation allowBlank="true" errorStyle="stop" operator="between" showDropDown="false" showErrorMessage="false" showInputMessage="false" sqref="H4:H19" type="list">
      <formula1>"Watching,Resetting,Re-armed,Dropped"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2026-05-25T17:51:27Z</dcterms:created>
  <dc:creator>openpyxl</dc:creator>
  <dc:description/>
  <dc:language>en-US</dc:language>
  <cp:lastModifiedBy/>
  <dcterms:modified xsi:type="dcterms:W3CDTF">2026-05-25T18:02:29Z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